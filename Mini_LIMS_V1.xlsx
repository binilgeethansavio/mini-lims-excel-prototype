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e0ba9dc7d6c344/Desktop/Mini LIMS Portfolio/"/>
    </mc:Choice>
  </mc:AlternateContent>
  <xr:revisionPtr revIDLastSave="6" documentId="8_{555E707C-79AB-4240-81A9-5FA6ECA2E5DE}" xr6:coauthVersionLast="47" xr6:coauthVersionMax="47" xr10:uidLastSave="{C39C061A-50EB-49F2-BD93-A20590D52983}"/>
  <bookViews>
    <workbookView xWindow="-96" yWindow="0" windowWidth="11712" windowHeight="12336" firstSheet="5" activeTab="5" xr2:uid="{18CCC6BF-AE8C-4D13-9674-ACAFDA4E78D3}"/>
  </bookViews>
  <sheets>
    <sheet name="Samples" sheetId="8" r:id="rId1"/>
    <sheet name="Test Methods" sheetId="2" r:id="rId2"/>
    <sheet name="Specifications" sheetId="3" r:id="rId3"/>
    <sheet name="Results" sheetId="4" r:id="rId4"/>
    <sheet name="Chain of Custody" sheetId="5" r:id="rId5"/>
    <sheet name="Audit Trail" sheetId="6" r:id="rId6"/>
    <sheet name="Dashboard" sheetId="1" r:id="rId7"/>
    <sheet name="Analysts" sheetId="7" r:id="rId8"/>
  </sheets>
  <definedNames>
    <definedName name="AnalystList">tblAnalysts[Initials]</definedName>
    <definedName name="FrmLocationList">tblCoC[From Location]</definedName>
    <definedName name="LowerLimList">tblSpecs[Lower Limit]</definedName>
    <definedName name="MethodIDList">tblMethods[Method ID]</definedName>
    <definedName name="MethodList">tblMethods[Method Name]</definedName>
    <definedName name="ProductList">Samples!$C:$C</definedName>
    <definedName name="SampleIDList">Samples!$A$2:$A$20</definedName>
    <definedName name="UnitList">tblSpecs[Unit]</definedName>
    <definedName name="UpperLimList">tblSpecs[Upper Limit]</definedName>
  </definedNames>
  <calcPr calcId="191029"/>
  <pivotCaches>
    <pivotCache cacheId="0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1" i="4" l="1"/>
  <c r="L31" i="4" a="1"/>
  <c r="L31" i="4" s="1"/>
  <c r="K31" i="4" a="1"/>
  <c r="K31" i="4" s="1"/>
  <c r="J31" i="4" a="1"/>
  <c r="J31" i="4" s="1"/>
  <c r="E31" i="4"/>
  <c r="A5" i="1"/>
  <c r="E28" i="1"/>
  <c r="C5" i="1"/>
  <c r="D5" i="1"/>
  <c r="E30" i="4"/>
  <c r="C30" i="4"/>
  <c r="E26" i="4"/>
  <c r="C26" i="4"/>
  <c r="C28" i="4"/>
  <c r="C29" i="4"/>
  <c r="E28" i="4"/>
  <c r="E29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7" i="4"/>
  <c r="E27" i="4"/>
  <c r="C5" i="4"/>
  <c r="E5" i="4"/>
  <c r="E3" i="4"/>
  <c r="E4" i="4"/>
  <c r="C3" i="4"/>
  <c r="C4" i="4"/>
  <c r="C2" i="4"/>
  <c r="E2" i="4"/>
  <c r="J2" i="4" l="1" a="1"/>
  <c r="J2" i="4" s="1"/>
  <c r="L26" i="4" a="1"/>
  <c r="L26" i="4" s="1"/>
  <c r="K26" i="4" a="1"/>
  <c r="K26" i="4" s="1"/>
  <c r="M26" i="4" s="1"/>
  <c r="J26" i="4" a="1"/>
  <c r="J26" i="4" s="1"/>
  <c r="L30" i="4" a="1"/>
  <c r="L30" i="4" s="1"/>
  <c r="K30" i="4" a="1"/>
  <c r="K30" i="4" s="1"/>
  <c r="M30" i="4" s="1"/>
  <c r="J30" i="4" a="1"/>
  <c r="J30" i="4" s="1"/>
  <c r="K28" i="4" a="1"/>
  <c r="K28" i="4" s="1"/>
  <c r="M28" i="4" s="1"/>
  <c r="K29" i="4" a="1"/>
  <c r="K29" i="4" s="1"/>
  <c r="M29" i="4" s="1"/>
  <c r="L24" i="4" a="1"/>
  <c r="L24" i="4" s="1"/>
  <c r="J28" i="4" a="1"/>
  <c r="J28" i="4" s="1"/>
  <c r="L28" i="4" a="1"/>
  <c r="L28" i="4" s="1"/>
  <c r="J29" i="4" a="1"/>
  <c r="J29" i="4" s="1"/>
  <c r="L29" i="4" a="1"/>
  <c r="L29" i="4" s="1"/>
  <c r="J25" i="4" a="1"/>
  <c r="J25" i="4" s="1"/>
  <c r="L25" i="4" a="1"/>
  <c r="L25" i="4" s="1"/>
  <c r="J27" i="4" a="1"/>
  <c r="J27" i="4" s="1"/>
  <c r="L27" i="4" a="1"/>
  <c r="L27" i="4" s="1"/>
  <c r="L19" i="4" a="1"/>
  <c r="L19" i="4" s="1"/>
  <c r="K19" i="4" a="1"/>
  <c r="K19" i="4" s="1"/>
  <c r="J19" i="4" a="1"/>
  <c r="J19" i="4" s="1"/>
  <c r="L20" i="4" a="1"/>
  <c r="L20" i="4" s="1"/>
  <c r="J20" i="4" a="1"/>
  <c r="J20" i="4" s="1"/>
  <c r="K20" i="4" a="1"/>
  <c r="K20" i="4" s="1"/>
  <c r="J21" i="4" a="1"/>
  <c r="J21" i="4" s="1"/>
  <c r="K21" i="4" a="1"/>
  <c r="K21" i="4" s="1"/>
  <c r="L21" i="4" a="1"/>
  <c r="L21" i="4" s="1"/>
  <c r="L22" i="4" a="1"/>
  <c r="L22" i="4" s="1"/>
  <c r="J22" i="4" a="1"/>
  <c r="J22" i="4" s="1"/>
  <c r="K22" i="4" a="1"/>
  <c r="K22" i="4" s="1"/>
  <c r="M22" i="4" s="1"/>
  <c r="K23" i="4" a="1"/>
  <c r="K23" i="4" s="1"/>
  <c r="J23" i="4" a="1"/>
  <c r="J23" i="4" s="1"/>
  <c r="L23" i="4" a="1"/>
  <c r="L23" i="4" s="1"/>
  <c r="J24" i="4" a="1"/>
  <c r="J24" i="4" s="1"/>
  <c r="K24" i="4" a="1"/>
  <c r="K24" i="4" s="1"/>
  <c r="K25" i="4" a="1"/>
  <c r="K25" i="4" s="1"/>
  <c r="J7" i="4" a="1"/>
  <c r="J7" i="4" s="1"/>
  <c r="K7" i="4" a="1"/>
  <c r="K7" i="4" s="1"/>
  <c r="L7" i="4" a="1"/>
  <c r="L7" i="4" s="1"/>
  <c r="L8" i="4" a="1"/>
  <c r="L8" i="4" s="1"/>
  <c r="K8" i="4" a="1"/>
  <c r="K8" i="4" s="1"/>
  <c r="M8" i="4" s="1"/>
  <c r="J8" i="4" a="1"/>
  <c r="J8" i="4" s="1"/>
  <c r="L9" i="4" a="1"/>
  <c r="L9" i="4" s="1"/>
  <c r="K9" i="4" a="1"/>
  <c r="K9" i="4" s="1"/>
  <c r="M9" i="4" s="1"/>
  <c r="J9" i="4" a="1"/>
  <c r="J9" i="4" s="1"/>
  <c r="L10" i="4" a="1"/>
  <c r="L10" i="4" s="1"/>
  <c r="K10" i="4" a="1"/>
  <c r="K10" i="4" s="1"/>
  <c r="M10" i="4" s="1"/>
  <c r="J10" i="4" a="1"/>
  <c r="J10" i="4" s="1"/>
  <c r="L11" i="4" a="1"/>
  <c r="L11" i="4" s="1"/>
  <c r="J11" i="4" a="1"/>
  <c r="J11" i="4" s="1"/>
  <c r="K11" i="4" a="1"/>
  <c r="K11" i="4" s="1"/>
  <c r="M11" i="4" s="1"/>
  <c r="L12" i="4" a="1"/>
  <c r="L12" i="4" s="1"/>
  <c r="K12" i="4" a="1"/>
  <c r="K12" i="4" s="1"/>
  <c r="M12" i="4" s="1"/>
  <c r="J12" i="4" a="1"/>
  <c r="J12" i="4" s="1"/>
  <c r="L13" i="4" a="1"/>
  <c r="L13" i="4" s="1"/>
  <c r="K13" i="4" a="1"/>
  <c r="K13" i="4" s="1"/>
  <c r="M13" i="4" s="1"/>
  <c r="J13" i="4" a="1"/>
  <c r="J13" i="4" s="1"/>
  <c r="K14" i="4" a="1"/>
  <c r="K14" i="4" s="1"/>
  <c r="L14" i="4" a="1"/>
  <c r="L14" i="4" s="1"/>
  <c r="J14" i="4" a="1"/>
  <c r="J14" i="4" s="1"/>
  <c r="K15" i="4" a="1"/>
  <c r="K15" i="4" s="1"/>
  <c r="L15" i="4" a="1"/>
  <c r="L15" i="4" s="1"/>
  <c r="J15" i="4" a="1"/>
  <c r="J15" i="4" s="1"/>
  <c r="K16" i="4" a="1"/>
  <c r="K16" i="4" s="1"/>
  <c r="L16" i="4" a="1"/>
  <c r="L16" i="4" s="1"/>
  <c r="J16" i="4" a="1"/>
  <c r="J16" i="4" s="1"/>
  <c r="K17" i="4" a="1"/>
  <c r="K17" i="4" s="1"/>
  <c r="L17" i="4" a="1"/>
  <c r="L17" i="4" s="1"/>
  <c r="J17" i="4" a="1"/>
  <c r="J17" i="4" s="1"/>
  <c r="K18" i="4" a="1"/>
  <c r="K18" i="4" s="1"/>
  <c r="L18" i="4" a="1"/>
  <c r="L18" i="4" s="1"/>
  <c r="J18" i="4" a="1"/>
  <c r="J18" i="4" s="1"/>
  <c r="L6" i="4" a="1"/>
  <c r="L6" i="4" s="1"/>
  <c r="K6" i="4" a="1"/>
  <c r="K6" i="4" s="1"/>
  <c r="M6" i="4" s="1"/>
  <c r="J6" i="4" a="1"/>
  <c r="J6" i="4" s="1"/>
  <c r="K27" i="4" a="1"/>
  <c r="K27" i="4" s="1"/>
  <c r="M27" i="4" s="1"/>
  <c r="L5" i="4" a="1"/>
  <c r="L5" i="4" s="1"/>
  <c r="J5" i="4" a="1"/>
  <c r="J5" i="4" s="1"/>
  <c r="K5" i="4" a="1"/>
  <c r="K5" i="4" s="1"/>
  <c r="M5" i="4" s="1"/>
  <c r="L3" i="4" a="1"/>
  <c r="L3" i="4" s="1"/>
  <c r="J3" i="4" a="1"/>
  <c r="J3" i="4" s="1"/>
  <c r="K3" i="4" a="1"/>
  <c r="K3" i="4" s="1"/>
  <c r="M3" i="4" s="1"/>
  <c r="K4" i="4" a="1"/>
  <c r="K4" i="4" s="1"/>
  <c r="L4" i="4" a="1"/>
  <c r="L4" i="4" s="1"/>
  <c r="J4" i="4" a="1"/>
  <c r="J4" i="4" s="1"/>
  <c r="K2" i="4" a="1"/>
  <c r="K2" i="4" s="1"/>
  <c r="L2" i="4" a="1"/>
  <c r="L2" i="4" s="1"/>
  <c r="M19" i="4" l="1"/>
  <c r="M20" i="4"/>
  <c r="M21" i="4"/>
  <c r="M23" i="4"/>
  <c r="M24" i="4"/>
  <c r="M25" i="4"/>
  <c r="M7" i="4"/>
  <c r="M16" i="4"/>
  <c r="M14" i="4"/>
  <c r="M15" i="4"/>
  <c r="M17" i="4"/>
  <c r="M18" i="4"/>
  <c r="M4" i="4"/>
  <c r="M2" i="4"/>
  <c r="E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<sst xmlns="http://schemas.openxmlformats.org/spreadsheetml/2006/main" count="762" uniqueCount="312">
  <si>
    <t>Sample Id</t>
  </si>
  <si>
    <t>Batch No.</t>
  </si>
  <si>
    <t>Product Name</t>
  </si>
  <si>
    <t>Sample Type</t>
  </si>
  <si>
    <t>Date Received</t>
  </si>
  <si>
    <t>Time Received</t>
  </si>
  <si>
    <t>Received From</t>
  </si>
  <si>
    <t>Logged By</t>
  </si>
  <si>
    <t>Quantity Received</t>
  </si>
  <si>
    <t>Storage Condition</t>
  </si>
  <si>
    <t>Hazard Level</t>
  </si>
  <si>
    <t>Manufacture Date</t>
  </si>
  <si>
    <t>Expiry Date</t>
  </si>
  <si>
    <t>Sample Status</t>
  </si>
  <si>
    <t>Priority</t>
  </si>
  <si>
    <t>Comments</t>
  </si>
  <si>
    <t>SMP-2026-0001</t>
  </si>
  <si>
    <t>Contaminated</t>
  </si>
  <si>
    <t>15–25°C</t>
  </si>
  <si>
    <t>Standard</t>
  </si>
  <si>
    <t>Biohazard</t>
  </si>
  <si>
    <t>Acceptable</t>
  </si>
  <si>
    <t>On Hold</t>
  </si>
  <si>
    <t>SMP-2026-0002</t>
  </si>
  <si>
    <t>In Testing</t>
  </si>
  <si>
    <t>Condition on Receipt</t>
  </si>
  <si>
    <t>2–8°C</t>
  </si>
  <si>
    <t>Analysts Id</t>
  </si>
  <si>
    <t>Initials</t>
  </si>
  <si>
    <t>Full Name</t>
  </si>
  <si>
    <t>Role</t>
  </si>
  <si>
    <t>Trained On Methods</t>
  </si>
  <si>
    <t>Active</t>
  </si>
  <si>
    <t>AN-01</t>
  </si>
  <si>
    <t>AN-02</t>
  </si>
  <si>
    <t>AN-03</t>
  </si>
  <si>
    <t>AN-04</t>
  </si>
  <si>
    <t>AN-05</t>
  </si>
  <si>
    <t>JM</t>
  </si>
  <si>
    <t>AOB</t>
  </si>
  <si>
    <t>SK</t>
  </si>
  <si>
    <t>John Murphy</t>
  </si>
  <si>
    <t>Aoife O'Brien</t>
  </si>
  <si>
    <t>Sarah Kelly</t>
  </si>
  <si>
    <t>Ritu Varma</t>
  </si>
  <si>
    <t>QC Analyst</t>
  </si>
  <si>
    <t>QC Manager</t>
  </si>
  <si>
    <t>Senior QC Analyst</t>
  </si>
  <si>
    <t>TM-001, TM-002</t>
  </si>
  <si>
    <t>TM-001, TM-002, TM-003</t>
  </si>
  <si>
    <t>TM-002, TM-003</t>
  </si>
  <si>
    <t>All</t>
  </si>
  <si>
    <t>TM-001</t>
  </si>
  <si>
    <t>Yes</t>
  </si>
  <si>
    <t>RV</t>
  </si>
  <si>
    <t>MM</t>
  </si>
  <si>
    <t>Finished Product</t>
  </si>
  <si>
    <t>Production</t>
  </si>
  <si>
    <t>Ozempic</t>
  </si>
  <si>
    <t>Raw Material</t>
  </si>
  <si>
    <t>External</t>
  </si>
  <si>
    <t>Paracetamol</t>
  </si>
  <si>
    <t>Unit</t>
  </si>
  <si>
    <t>Vials</t>
  </si>
  <si>
    <t>Method ID</t>
  </si>
  <si>
    <t>Method Name</t>
  </si>
  <si>
    <t>SOP Number</t>
  </si>
  <si>
    <t>Equipment</t>
  </si>
  <si>
    <t>Status</t>
  </si>
  <si>
    <t>pH Test</t>
  </si>
  <si>
    <t>SOP-PH-04</t>
  </si>
  <si>
    <t>pH Meter A</t>
  </si>
  <si>
    <t>pH units</t>
  </si>
  <si>
    <t>Retired</t>
  </si>
  <si>
    <t>TM-002</t>
  </si>
  <si>
    <t>TM-003</t>
  </si>
  <si>
    <t>TM-004</t>
  </si>
  <si>
    <t>TM-005</t>
  </si>
  <si>
    <t>TM-006</t>
  </si>
  <si>
    <t>TM-007</t>
  </si>
  <si>
    <t>HPLC Assay</t>
  </si>
  <si>
    <t>SOP-HPLC-12</t>
  </si>
  <si>
    <t>HPLC #3</t>
  </si>
  <si>
    <t>% w/w</t>
  </si>
  <si>
    <t>Appearance</t>
  </si>
  <si>
    <t>SOP-VIS-01</t>
  </si>
  <si>
    <t>Visual</t>
  </si>
  <si>
    <t>-</t>
  </si>
  <si>
    <t>Dissolution</t>
  </si>
  <si>
    <t>SOP-DIS-08</t>
  </si>
  <si>
    <t>Dissolution Apparatus II</t>
  </si>
  <si>
    <t>% released</t>
  </si>
  <si>
    <t>Water Content (KF)</t>
  </si>
  <si>
    <t>SOP-KF-05</t>
  </si>
  <si>
    <t>Karl Fischer Titrator</t>
  </si>
  <si>
    <t>Microbial Count</t>
  </si>
  <si>
    <t>SOP-MIC-03</t>
  </si>
  <si>
    <t>Plate Reader</t>
  </si>
  <si>
    <t>CFU/g</t>
  </si>
  <si>
    <t>LOD (Loss on Drying)</t>
  </si>
  <si>
    <t>SOP-LOD-02</t>
  </si>
  <si>
    <t>Moisture Analyser</t>
  </si>
  <si>
    <t>Spec Id</t>
  </si>
  <si>
    <t>Method Id</t>
  </si>
  <si>
    <t>Lower Limit</t>
  </si>
  <si>
    <t>Upper Limit</t>
  </si>
  <si>
    <t>SOP Version</t>
  </si>
  <si>
    <t>Effective Date</t>
  </si>
  <si>
    <t>SPEC-001</t>
  </si>
  <si>
    <t>SPEC-002</t>
  </si>
  <si>
    <t>SPEC-003</t>
  </si>
  <si>
    <t>SPEC-004</t>
  </si>
  <si>
    <t>SPEC-005</t>
  </si>
  <si>
    <t>SPEC-006</t>
  </si>
  <si>
    <t>SPEC-007</t>
  </si>
  <si>
    <t>pH Units</t>
  </si>
  <si>
    <t>v04</t>
  </si>
  <si>
    <t>v12</t>
  </si>
  <si>
    <t>v08</t>
  </si>
  <si>
    <t>v02</t>
  </si>
  <si>
    <t>v03</t>
  </si>
  <si>
    <t>Superseded</t>
  </si>
  <si>
    <t>Result ID</t>
  </si>
  <si>
    <t>Sample ID</t>
  </si>
  <si>
    <t>Test Date</t>
  </si>
  <si>
    <t>Test Time</t>
  </si>
  <si>
    <t>Analyst</t>
  </si>
  <si>
    <t>Measured Value</t>
  </si>
  <si>
    <t>Pass/Fail</t>
  </si>
  <si>
    <t>R-2026-0001</t>
  </si>
  <si>
    <t>SMP-2026-0003</t>
  </si>
  <si>
    <t>SMP-2026-0004</t>
  </si>
  <si>
    <t>SMP-2026-0005</t>
  </si>
  <si>
    <t>SMP-2026-0006</t>
  </si>
  <si>
    <t>SMP-2026-0007</t>
  </si>
  <si>
    <t>SMP-2026-0008</t>
  </si>
  <si>
    <t>SMP-2026-0009</t>
  </si>
  <si>
    <t>SMP-2026-0010</t>
  </si>
  <si>
    <t>SMP-2026-0011</t>
  </si>
  <si>
    <t>SMP-2026-0012</t>
  </si>
  <si>
    <t>SMP-2026-0013</t>
  </si>
  <si>
    <t>SMP-2026-0014</t>
  </si>
  <si>
    <t>SMP-2026-0015</t>
  </si>
  <si>
    <t>SMP-2026-0016</t>
  </si>
  <si>
    <t>SMP-2026-0017</t>
  </si>
  <si>
    <t>SMP-2026-0018</t>
  </si>
  <si>
    <t>SPEC-008</t>
  </si>
  <si>
    <t>SPEC-009</t>
  </si>
  <si>
    <t>Ibuprofen</t>
  </si>
  <si>
    <t>SPEC-010</t>
  </si>
  <si>
    <t>v05</t>
  </si>
  <si>
    <t>g</t>
  </si>
  <si>
    <t>Tablets</t>
  </si>
  <si>
    <t>None</t>
  </si>
  <si>
    <t>Rejected</t>
  </si>
  <si>
    <t>Visible Particulate Matter</t>
  </si>
  <si>
    <t>Awaiting CoA</t>
  </si>
  <si>
    <t>Urgent</t>
  </si>
  <si>
    <t>Released</t>
  </si>
  <si>
    <t>Approved</t>
  </si>
  <si>
    <t>Container Seal Compromised</t>
  </si>
  <si>
    <t>API receipt</t>
  </si>
  <si>
    <t>Damaged</t>
  </si>
  <si>
    <t>Warehouse</t>
  </si>
  <si>
    <t>Stability</t>
  </si>
  <si>
    <t>Stability Chamber</t>
  </si>
  <si>
    <t>6 Month timepoint</t>
  </si>
  <si>
    <t>Accelerated 6 month</t>
  </si>
  <si>
    <t>mg</t>
  </si>
  <si>
    <t>Leaking</t>
  </si>
  <si>
    <t>−20°C</t>
  </si>
  <si>
    <t>Vial Seal Failure</t>
  </si>
  <si>
    <t>Peptide API</t>
  </si>
  <si>
    <t>Long term, 6-month</t>
  </si>
  <si>
    <t>Gelatin-coated</t>
  </si>
  <si>
    <t>BN-PCM-2601</t>
  </si>
  <si>
    <t>BN-OZE-2601</t>
  </si>
  <si>
    <t>BN-PCM-2602</t>
  </si>
  <si>
    <t>BN-PCM-2603</t>
  </si>
  <si>
    <t>BN-PCM-RM01</t>
  </si>
  <si>
    <t>BN-PCM-RM02</t>
  </si>
  <si>
    <t>BN-PCM-ST01</t>
  </si>
  <si>
    <t>BN-PCM-ST02</t>
  </si>
  <si>
    <t>BN-OZE-2602</t>
  </si>
  <si>
    <t>BN-OZE-2603</t>
  </si>
  <si>
    <t>BN-OZE-2604</t>
  </si>
  <si>
    <t>BN-OZE-RM01</t>
  </si>
  <si>
    <t>BN-OZE-RM02</t>
  </si>
  <si>
    <t>BN-OZE-ST01</t>
  </si>
  <si>
    <t>BN-IBU-ST01</t>
  </si>
  <si>
    <t>BN-IBU-RMO1</t>
  </si>
  <si>
    <t>BN-IBU-2602</t>
  </si>
  <si>
    <t>BN-IBU-2601</t>
  </si>
  <si>
    <t>Intermediate, 6-month</t>
  </si>
  <si>
    <t>25-30°C / 60% RH</t>
  </si>
  <si>
    <t>40°C / 75% RH</t>
  </si>
  <si>
    <t>R-2026-0002</t>
  </si>
  <si>
    <t>R-2026-0003</t>
  </si>
  <si>
    <t>R-2026-0004</t>
  </si>
  <si>
    <t>R-2026-0005</t>
  </si>
  <si>
    <t>CoC ID</t>
  </si>
  <si>
    <t>Date</t>
  </si>
  <si>
    <t>Time</t>
  </si>
  <si>
    <t>Action</t>
  </si>
  <si>
    <t>From Location</t>
  </si>
  <si>
    <t>To Location</t>
  </si>
  <si>
    <t>Handled By</t>
  </si>
  <si>
    <t>CoC-2026-0001</t>
  </si>
  <si>
    <t>CoC-2026-0002</t>
  </si>
  <si>
    <t>CoC-2026-0003</t>
  </si>
  <si>
    <t>CoC-2026-0004</t>
  </si>
  <si>
    <t>CoC-2026-0005</t>
  </si>
  <si>
    <t>CoC-2026-0006</t>
  </si>
  <si>
    <t>CoC-2026-0007</t>
  </si>
  <si>
    <t>Tested</t>
  </si>
  <si>
    <t>Reception</t>
  </si>
  <si>
    <t>QC Bench 2</t>
  </si>
  <si>
    <t>Disposed</t>
  </si>
  <si>
    <t>Cold Storage</t>
  </si>
  <si>
    <t>Lab Storage</t>
  </si>
  <si>
    <t>Stored</t>
  </si>
  <si>
    <t>QC Bench 1</t>
  </si>
  <si>
    <t>Transferred</t>
  </si>
  <si>
    <t>Returned</t>
  </si>
  <si>
    <t>Received</t>
  </si>
  <si>
    <t>CoC-2026-0008</t>
  </si>
  <si>
    <t>CoC-2026-0009</t>
  </si>
  <si>
    <t>CoC-2026-0010</t>
  </si>
  <si>
    <t>CoC-2026-0011</t>
  </si>
  <si>
    <t>CoC-2026-0012</t>
  </si>
  <si>
    <t xml:space="preserve">Audit ID </t>
  </si>
  <si>
    <t>User</t>
  </si>
  <si>
    <t>Sheet Affected</t>
  </si>
  <si>
    <t>Record ID</t>
  </si>
  <si>
    <t>Field Changed</t>
  </si>
  <si>
    <t>Old Value</t>
  </si>
  <si>
    <t>Reason for Change</t>
  </si>
  <si>
    <t>AT-2026-0001</t>
  </si>
  <si>
    <t>Results</t>
  </si>
  <si>
    <t>Transcription Error</t>
  </si>
  <si>
    <t>AT-2026-0002</t>
  </si>
  <si>
    <t>AT-2026-0003</t>
  </si>
  <si>
    <t>AT-2026-0004</t>
  </si>
  <si>
    <t>AT-2026-0005</t>
  </si>
  <si>
    <t>AT-2026-0006</t>
  </si>
  <si>
    <t>AT-2026-0007</t>
  </si>
  <si>
    <t>AT-2026-0008</t>
  </si>
  <si>
    <t>AT-2026-0009</t>
  </si>
  <si>
    <t>AT-2026-0010</t>
  </si>
  <si>
    <t>Samples</t>
  </si>
  <si>
    <t>Specifications</t>
  </si>
  <si>
    <t>Analyst Correction</t>
  </si>
  <si>
    <t>Approval</t>
  </si>
  <si>
    <t>Test Methods</t>
  </si>
  <si>
    <t>Analysts</t>
  </si>
  <si>
    <t>AN-06</t>
  </si>
  <si>
    <t>R-2026-0006</t>
  </si>
  <si>
    <t>New Result Entry</t>
  </si>
  <si>
    <t>Re-Test</t>
  </si>
  <si>
    <t>New Record</t>
  </si>
  <si>
    <t>TC</t>
  </si>
  <si>
    <t>TM-001, TM-003</t>
  </si>
  <si>
    <t>R-2026-0007</t>
  </si>
  <si>
    <t>R-2026-0008</t>
  </si>
  <si>
    <t>R-2026-0009</t>
  </si>
  <si>
    <t>R-2026-0010</t>
  </si>
  <si>
    <t>R-2026-0011</t>
  </si>
  <si>
    <t>R-2026-0012</t>
  </si>
  <si>
    <t>R-2026-0013</t>
  </si>
  <si>
    <t>R-2026-0014</t>
  </si>
  <si>
    <t>R-2026-0015</t>
  </si>
  <si>
    <t>R-2026-0016</t>
  </si>
  <si>
    <t>R-2026-0017</t>
  </si>
  <si>
    <t>R-2026-0018</t>
  </si>
  <si>
    <t>R-2026-0019</t>
  </si>
  <si>
    <t>R-2026-0020</t>
  </si>
  <si>
    <t>R-2026-0021</t>
  </si>
  <si>
    <t>R-2026-0022</t>
  </si>
  <si>
    <t>R-2026-0023</t>
  </si>
  <si>
    <t>R-2026-0024</t>
  </si>
  <si>
    <t>Accelerated Stability</t>
  </si>
  <si>
    <t>R-2026-0025</t>
  </si>
  <si>
    <t>R-2026-0026</t>
  </si>
  <si>
    <t>R-2026-0027</t>
  </si>
  <si>
    <t>R-2026-0028</t>
  </si>
  <si>
    <t>R-2026-0029</t>
  </si>
  <si>
    <t>OOS Investigation Pending</t>
  </si>
  <si>
    <t>Pre-Rejection</t>
  </si>
  <si>
    <t>Mini LIMS Dashboard</t>
  </si>
  <si>
    <t>OOS Rate</t>
  </si>
  <si>
    <r>
      <t xml:space="preserve">Quality Control Operations </t>
    </r>
    <r>
      <rPr>
        <i/>
        <sz val="11"/>
        <color theme="1"/>
        <rFont val="Aptos Narrow"/>
        <family val="2"/>
      </rPr>
      <t>• Mock Data</t>
    </r>
  </si>
  <si>
    <t>Sample Status Breakdown</t>
  </si>
  <si>
    <t>OOS Results by Product</t>
  </si>
  <si>
    <t>Total Samples</t>
  </si>
  <si>
    <t>Grand Total</t>
  </si>
  <si>
    <t xml:space="preserve">Count </t>
  </si>
  <si>
    <t>Column Labels</t>
  </si>
  <si>
    <t>OOS</t>
  </si>
  <si>
    <t>Pass</t>
  </si>
  <si>
    <t>Count of Result ID</t>
  </si>
  <si>
    <t>Product</t>
  </si>
  <si>
    <t>Analyst Workload</t>
  </si>
  <si>
    <r>
      <t xml:space="preserve">Audit Trail  </t>
    </r>
    <r>
      <rPr>
        <b/>
        <sz val="12"/>
        <color theme="1"/>
        <rFont val="Aptos Narrow"/>
        <family val="2"/>
      </rPr>
      <t>•  This Month</t>
    </r>
  </si>
  <si>
    <t>Status Change</t>
  </si>
  <si>
    <t>R-2026-0029: Dissolution = 76.2 (OOS)</t>
  </si>
  <si>
    <t>Mary Monroe</t>
  </si>
  <si>
    <t>Tomas Connolly</t>
  </si>
  <si>
    <t>30°C / 65% RH</t>
  </si>
  <si>
    <t>New Value</t>
  </si>
  <si>
    <t>Approved By</t>
  </si>
  <si>
    <t>Investigation</t>
  </si>
  <si>
    <t>Spec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</si>
</sst>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dd\-mmm\-yyyy"/>
    <numFmt numFmtId="166" formatCode="h:mm\ 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3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5" fontId="1" fillId="0" borderId="0" xfId="0" applyNumberFormat="1" applyFont="1"/>
    <xf numFmtId="15" fontId="0" fillId="0" borderId="0" xfId="0" applyNumberFormat="1"/>
    <xf numFmtId="20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65"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D4E6F1"/>
        </patternFill>
      </fill>
    </dxf>
    <dxf>
      <fill>
        <patternFill>
          <bgColor rgb="FFFCF3CF"/>
        </patternFill>
      </fill>
    </dxf>
    <dxf>
      <fill>
        <patternFill>
          <bgColor rgb="FFD5F5E3"/>
        </patternFill>
      </fill>
    </dxf>
    <dxf>
      <fill>
        <patternFill>
          <fgColor theme="0"/>
          <bgColor rgb="FFFADBD8"/>
        </patternFill>
      </fill>
    </dxf>
    <dxf>
      <fill>
        <patternFill>
          <bgColor rgb="FFA9DFBF"/>
        </patternFill>
      </fill>
    </dxf>
    <dxf>
      <fill>
        <patternFill patternType="none">
          <bgColor auto="1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E6CD8E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5" formatCode="hh:mm"/>
    </dxf>
    <dxf>
      <numFmt numFmtId="165" formatCode="dd\-mmm\-yyyy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:mm:ss;@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165" formatCode="dd\-mmm\-yyyy"/>
    </dxf>
    <dxf>
      <numFmt numFmtId="20" formatCode="dd\-mmm\-yy"/>
    </dxf>
    <dxf>
      <alignment horizontal="left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5" formatCode="hh:mm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1F4D3D"/>
      <color rgb="FFFADBD8"/>
      <color rgb="FFA9DFBF"/>
      <color rgb="FFD4E6F1"/>
      <color rgb="FFFCF3CF"/>
      <color rgb="FFD5F5E3"/>
      <color rgb="FFE6CD8E"/>
      <color rgb="FFFF7C80"/>
      <color rgb="FFFFCC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[Mini_LIMS_V1.xlsx]Dashboard!PivotTable1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DFB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5F5E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4E6F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CF3C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ADBD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D5F5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D7-49F8-BF6A-B49371E5AE9F}"/>
              </c:ext>
            </c:extLst>
          </c:dPt>
          <c:dPt>
            <c:idx val="1"/>
            <c:bubble3D val="0"/>
            <c:spPr>
              <a:solidFill>
                <a:srgbClr val="D4E6F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FD7-49F8-BF6A-B49371E5AE9F}"/>
              </c:ext>
            </c:extLst>
          </c:dPt>
          <c:dPt>
            <c:idx val="2"/>
            <c:bubble3D val="0"/>
            <c:spPr>
              <a:solidFill>
                <a:srgbClr val="FCF3C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D7-49F8-BF6A-B49371E5AE9F}"/>
              </c:ext>
            </c:extLst>
          </c:dPt>
          <c:dPt>
            <c:idx val="3"/>
            <c:bubble3D val="0"/>
            <c:spPr>
              <a:solidFill>
                <a:srgbClr val="FADB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FD7-49F8-BF6A-B49371E5AE9F}"/>
              </c:ext>
            </c:extLst>
          </c:dPt>
          <c:dPt>
            <c:idx val="4"/>
            <c:bubble3D val="0"/>
            <c:spPr>
              <a:solidFill>
                <a:srgbClr val="A9D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D7-49F8-BF6A-B49371E5AE9F}"/>
              </c:ext>
            </c:extLst>
          </c:dPt>
          <c:cat>
            <c:strRef>
              <c:f>Dashboard!$A$11:$A$16</c:f>
              <c:strCache>
                <c:ptCount val="5"/>
                <c:pt idx="0">
                  <c:v>Approved</c:v>
                </c:pt>
                <c:pt idx="1">
                  <c:v>In Testing</c:v>
                </c:pt>
                <c:pt idx="2">
                  <c:v>On Hold</c:v>
                </c:pt>
                <c:pt idx="3">
                  <c:v>Rejected</c:v>
                </c:pt>
                <c:pt idx="4">
                  <c:v>Released</c:v>
                </c:pt>
              </c:strCache>
            </c:strRef>
          </c:cat>
          <c:val>
            <c:numRef>
              <c:f>Dashboard!$B$11:$B$16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7-49F8-BF6A-B49371E5A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84139169661862"/>
          <c:y val="0.28289853476093796"/>
          <c:w val="0.29601275855102643"/>
          <c:h val="0.56830647604122597"/>
        </c:manualLayout>
      </c:layout>
      <c:overlay val="0"/>
      <c:spPr>
        <a:noFill/>
        <a:ln>
          <a:noFill/>
        </a:ln>
        <a:effectLst>
          <a:glow rad="63500">
            <a:schemeClr val="accent1"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[Mini_LIMS_V1.xlsx]Dashboard!PivotTable2</c:name>
    <c:fmtId val="0"/>
  </c:pivotSource>
  <c:chart>
    <c:autoTitleDeleted val="0"/>
    <c:pivotFmts>
      <c:pivotFmt>
        <c:idx val="0"/>
        <c:spPr>
          <a:solidFill>
            <a:srgbClr val="FADBD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D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Dashboard!$F$10:$F$11</c:f>
              <c:strCache>
                <c:ptCount val="1"/>
                <c:pt idx="0">
                  <c:v>OOS</c:v>
                </c:pt>
              </c:strCache>
            </c:strRef>
          </c:tx>
          <c:spPr>
            <a:solidFill>
              <a:srgbClr val="FADBD8"/>
            </a:solidFill>
            <a:ln>
              <a:noFill/>
            </a:ln>
            <a:effectLst/>
          </c:spPr>
          <c:invertIfNegative val="0"/>
          <c:cat>
            <c:strRef>
              <c:f>Dashboard!$E$12:$E$15</c:f>
              <c:strCache>
                <c:ptCount val="3"/>
                <c:pt idx="0">
                  <c:v>Ibuprofen</c:v>
                </c:pt>
                <c:pt idx="1">
                  <c:v>Ozempic</c:v>
                </c:pt>
                <c:pt idx="2">
                  <c:v>Paracetamol</c:v>
                </c:pt>
              </c:strCache>
            </c:strRef>
          </c:cat>
          <c:val>
            <c:numRef>
              <c:f>Dashboard!$F$12:$F$15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6-405D-9C4B-02BDB69B84C8}"/>
            </c:ext>
          </c:extLst>
        </c:ser>
        <c:ser>
          <c:idx val="1"/>
          <c:order val="1"/>
          <c:tx>
            <c:strRef>
              <c:f>Dashboard!$G$10:$G$11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A9DFBF"/>
            </a:solidFill>
            <a:ln>
              <a:noFill/>
            </a:ln>
            <a:effectLst/>
          </c:spPr>
          <c:invertIfNegative val="0"/>
          <c:cat>
            <c:strRef>
              <c:f>Dashboard!$E$12:$E$15</c:f>
              <c:strCache>
                <c:ptCount val="3"/>
                <c:pt idx="0">
                  <c:v>Ibuprofen</c:v>
                </c:pt>
                <c:pt idx="1">
                  <c:v>Ozempic</c:v>
                </c:pt>
                <c:pt idx="2">
                  <c:v>Paracetamol</c:v>
                </c:pt>
              </c:strCache>
            </c:strRef>
          </c:cat>
          <c:val>
            <c:numRef>
              <c:f>Dashboard!$G$12:$G$15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6-405D-9C4B-02BDB69B8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2046319"/>
        <c:axId val="1762044399"/>
      </c:barChart>
      <c:catAx>
        <c:axId val="176204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44399"/>
        <c:crosses val="autoZero"/>
        <c:auto val="1"/>
        <c:lblAlgn val="ctr"/>
        <c:lblOffset val="100"/>
        <c:noMultiLvlLbl val="0"/>
      </c:catAx>
      <c:valAx>
        <c:axId val="176204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61393117617614"/>
          <c:y val="0.35508034034716124"/>
          <c:w val="9.9505607029762813E-2"/>
          <c:h val="0.175000489936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[Mini_LIMS_V1.xlsx]Dashboard!PivotTable3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D3D"/>
          </a:solidFill>
          <a:ln>
            <a:noFill/>
          </a:ln>
          <a:effectLst/>
        </c:spPr>
      </c:pivotFmt>
      <c:pivotFmt>
        <c:idx val="2"/>
        <c:spPr>
          <a:solidFill>
            <a:srgbClr val="1F4D3D"/>
          </a:solidFill>
          <a:ln>
            <a:noFill/>
          </a:ln>
          <a:effectLst/>
        </c:spPr>
      </c:pivotFmt>
      <c:pivotFmt>
        <c:idx val="3"/>
        <c:spPr>
          <a:solidFill>
            <a:srgbClr val="1F4D3D"/>
          </a:solidFill>
          <a:ln>
            <a:noFill/>
          </a:ln>
          <a:effectLst/>
        </c:spPr>
      </c:pivotFmt>
      <c:pivotFmt>
        <c:idx val="4"/>
        <c:spPr>
          <a:solidFill>
            <a:srgbClr val="1F4D3D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4D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34-41F1-88E0-71D7AEFF12BD}"/>
              </c:ext>
            </c:extLst>
          </c:dPt>
          <c:dPt>
            <c:idx val="1"/>
            <c:invertIfNegative val="0"/>
            <c:bubble3D val="0"/>
            <c:spPr>
              <a:solidFill>
                <a:srgbClr val="1F4D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D34-41F1-88E0-71D7AEFF12BD}"/>
              </c:ext>
            </c:extLst>
          </c:dPt>
          <c:dPt>
            <c:idx val="2"/>
            <c:invertIfNegative val="0"/>
            <c:bubble3D val="0"/>
            <c:spPr>
              <a:solidFill>
                <a:srgbClr val="1F4D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34-41F1-88E0-71D7AEFF12BD}"/>
              </c:ext>
            </c:extLst>
          </c:dPt>
          <c:dPt>
            <c:idx val="3"/>
            <c:invertIfNegative val="0"/>
            <c:bubble3D val="0"/>
            <c:spPr>
              <a:solidFill>
                <a:srgbClr val="1F4D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34-41F1-88E0-71D7AEFF12BD}"/>
              </c:ext>
            </c:extLst>
          </c:dPt>
          <c:cat>
            <c:strRef>
              <c:f>Dashboard!$A$28:$A$32</c:f>
              <c:strCache>
                <c:ptCount val="4"/>
                <c:pt idx="0">
                  <c:v>SK</c:v>
                </c:pt>
                <c:pt idx="1">
                  <c:v>MM</c:v>
                </c:pt>
                <c:pt idx="2">
                  <c:v>JM</c:v>
                </c:pt>
                <c:pt idx="3">
                  <c:v>AOB</c:v>
                </c:pt>
              </c:strCache>
            </c:strRef>
          </c:cat>
          <c:val>
            <c:numRef>
              <c:f>Dashboard!$B$28:$B$32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4-41F1-88E0-71D7AEFF1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408463"/>
        <c:axId val="1758409423"/>
      </c:barChart>
      <c:catAx>
        <c:axId val="1758408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09423"/>
        <c:crosses val="autoZero"/>
        <c:auto val="1"/>
        <c:lblAlgn val="ctr"/>
        <c:lblOffset val="100"/>
        <c:noMultiLvlLbl val="0"/>
      </c:catAx>
      <c:valAx>
        <c:axId val="175840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0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188452</xdr:rowOff>
    </xdr:from>
    <xdr:to>
      <xdr:col>3</xdr:col>
      <xdr:colOff>1147097</xdr:colOff>
      <xdr:row>21</xdr:row>
      <xdr:rowOff>125105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AD7BB-B58E-40EE-BF19-56849F4D3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1224935</xdr:colOff>
      <xdr:row>7</xdr:row>
      <xdr:rowOff>189271</xdr:rowOff>
    </xdr:from>
    <xdr:to>
      <xdr:col>8</xdr:col>
      <xdr:colOff>262193</xdr:colOff>
      <xdr:row>21</xdr:row>
      <xdr:rowOff>79612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7C5D5-2E8E-605E-8413-FEDDA8A27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27069</xdr:rowOff>
    </xdr:from>
    <xdr:to>
      <xdr:col>4</xdr:col>
      <xdr:colOff>552824</xdr:colOff>
      <xdr:row>38</xdr:row>
      <xdr:rowOff>80211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3A7FF-3521-4640-AE8A-BCDFC6A02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NIL G SAVIO" refreshedDate="46153.77216990741" createdVersion="8" refreshedVersion="8" minRefreshableVersion="3" recordCount="18" xr:uid="{F0353223-FB22-4CA4-A6FB-DEF7CC72CF10}">
  <cacheSource type="worksheet">
    <worksheetSource name="tblSamples"/>
  </cacheSource>
  <cacheFields count="18">
    <cacheField name="Sample Id" numFmtId="0">
      <sharedItems/>
    </cacheField>
    <cacheField name="Batch No." numFmtId="0">
      <sharedItems/>
    </cacheField>
    <cacheField name="Product Name" numFmtId="0">
      <sharedItems/>
    </cacheField>
    <cacheField name="Sample Type" numFmtId="0">
      <sharedItems/>
    </cacheField>
    <cacheField name="Date Received" numFmtId="15">
      <sharedItems containsSemiMixedTypes="0" containsNonDate="0" containsDate="1" containsString="0" minDate="2026-03-18T00:00:00" maxDate="2026-04-27T00:00:00"/>
    </cacheField>
    <cacheField name="Time Received" numFmtId="0">
      <sharedItems containsSemiMixedTypes="0" containsNonDate="0" containsDate="1" containsString="0" minDate="1899-12-30T08:30:00" maxDate="1899-12-30T14:20:00"/>
    </cacheField>
    <cacheField name="Received From" numFmtId="0">
      <sharedItems/>
    </cacheField>
    <cacheField name="Logged By" numFmtId="0">
      <sharedItems/>
    </cacheField>
    <cacheField name="Quantity Received" numFmtId="0">
      <sharedItems containsSemiMixedTypes="0" containsString="0" containsNumber="1" minValue="1.5" maxValue="300"/>
    </cacheField>
    <cacheField name="Unit" numFmtId="0">
      <sharedItems/>
    </cacheField>
    <cacheField name="Condition on Receipt" numFmtId="0">
      <sharedItems/>
    </cacheField>
    <cacheField name="Storage Condition" numFmtId="0">
      <sharedItems/>
    </cacheField>
    <cacheField name="Hazard Level" numFmtId="0">
      <sharedItems/>
    </cacheField>
    <cacheField name="Manufacture Date" numFmtId="15">
      <sharedItems containsSemiMixedTypes="0" containsNonDate="0" containsDate="1" containsString="0" minDate="2025-10-15T00:00:00" maxDate="2026-04-15T00:00:00"/>
    </cacheField>
    <cacheField name="Expiry Date" numFmtId="15">
      <sharedItems containsSemiMixedTypes="0" containsNonDate="0" containsDate="1" containsString="0" minDate="2027-03-31T00:00:00" maxDate="2029-05-01T00:00:00"/>
    </cacheField>
    <cacheField name="Sample Status" numFmtId="0">
      <sharedItems count="5">
        <s v="Rejected"/>
        <s v="On Hold"/>
        <s v="Released"/>
        <s v="Approved"/>
        <s v="In Testing"/>
      </sharedItems>
    </cacheField>
    <cacheField name="Priority" numFmtId="0">
      <sharedItems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INIL G SAVIO" refreshedDate="46156.480825462961" createdVersion="8" refreshedVersion="8" minRefreshableVersion="3" recordCount="30" xr:uid="{9F0AD62B-37E1-487F-B9BB-42583CA7E931}">
  <cacheSource type="worksheet">
    <worksheetSource name="tblResults"/>
  </cacheSource>
  <cacheFields count="14">
    <cacheField name="Result ID" numFmtId="0">
      <sharedItems containsBlank="1"/>
    </cacheField>
    <cacheField name="Sample ID" numFmtId="0">
      <sharedItems containsBlank="1"/>
    </cacheField>
    <cacheField name="Product Name" numFmtId="0">
      <sharedItems containsBlank="1" count="4">
        <s v="Paracetamol"/>
        <s v="Ozempic"/>
        <s v="Ibuprofen"/>
        <m/>
      </sharedItems>
    </cacheField>
    <cacheField name="Method ID" numFmtId="0">
      <sharedItems containsBlank="1"/>
    </cacheField>
    <cacheField name="Method Name" numFmtId="0">
      <sharedItems containsBlank="1"/>
    </cacheField>
    <cacheField name="Test Date" numFmtId="165">
      <sharedItems containsNonDate="0" containsDate="1" containsString="0" containsBlank="1" minDate="2026-04-03T00:00:00" maxDate="2026-05-10T00:00:00"/>
    </cacheField>
    <cacheField name="Test Time" numFmtId="20">
      <sharedItems containsNonDate="0" containsDate="1" containsString="0" containsBlank="1" minDate="1899-12-30T08:23:59" maxDate="1899-12-30T16:00:00"/>
    </cacheField>
    <cacheField name="Analyst" numFmtId="0">
      <sharedItems containsBlank="1" count="5">
        <s v="AOB"/>
        <s v="JM"/>
        <s v="MM"/>
        <s v="SK"/>
        <m/>
      </sharedItems>
    </cacheField>
    <cacheField name="Measured Value" numFmtId="0">
      <sharedItems containsString="0" containsBlank="1" containsNumber="1" minValue="3.2" maxValue="102.5"/>
    </cacheField>
    <cacheField name="Unit" numFmtId="0">
      <sharedItems containsBlank="1"/>
    </cacheField>
    <cacheField name="Lower Limit" numFmtId="0">
      <sharedItems containsString="0" containsBlank="1" containsNumber="1" minValue="0" maxValue="98"/>
    </cacheField>
    <cacheField name="Upper Limit" numFmtId="0">
      <sharedItems containsString="0" containsBlank="1" containsNumber="1" minValue="5" maxValue="110"/>
    </cacheField>
    <cacheField name="Pass/Fail" numFmtId="0">
      <sharedItems containsBlank="1" count="4">
        <s v="Pass"/>
        <s v="OOS"/>
        <m/>
        <s v="" u="1"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SMP-2026-0001"/>
    <s v="BN-PCM-2601"/>
    <s v="Paracetamol"/>
    <s v="Finished Product"/>
    <d v="2026-04-26T00:00:00"/>
    <d v="1899-12-30T10:30:00"/>
    <s v="Production"/>
    <s v="AOB"/>
    <n v="30"/>
    <s v="Tablets"/>
    <s v="Contaminated"/>
    <s v="15–25°C"/>
    <s v="None"/>
    <d v="2026-01-10T00:00:00"/>
    <d v="2029-04-30T00:00:00"/>
    <x v="0"/>
    <s v="Standard"/>
    <s v="Visible Particulate Matter"/>
  </r>
  <r>
    <s v="SMP-2026-0002"/>
    <s v="BN-OZE-2601"/>
    <s v="Ozempic"/>
    <s v="Raw Material"/>
    <d v="2026-03-18T00:00:00"/>
    <d v="1899-12-30T11:00:00"/>
    <s v="External"/>
    <s v="MM"/>
    <n v="1.5"/>
    <s v="g"/>
    <s v="Acceptable"/>
    <s v="2–8°C"/>
    <s v="Biohazard"/>
    <d v="2025-11-17T00:00:00"/>
    <d v="2027-12-21T00:00:00"/>
    <x v="1"/>
    <s v="Urgent"/>
    <s v="Awaiting CoA"/>
  </r>
  <r>
    <s v="SMP-2026-0003"/>
    <s v="BN-PCM-2602"/>
    <s v="Paracetamol"/>
    <s v="Finished Product"/>
    <d v="2026-04-02T00:00:00"/>
    <d v="1899-12-30T09:15:00"/>
    <s v="Production"/>
    <s v="JM"/>
    <n v="50"/>
    <s v="Tablets"/>
    <s v="Acceptable"/>
    <s v="15–25°C"/>
    <s v="None"/>
    <d v="2026-03-28T00:00:00"/>
    <d v="2029-03-27T00:00:00"/>
    <x v="2"/>
    <s v="Standard"/>
    <m/>
  </r>
  <r>
    <s v="SMP-2026-0004"/>
    <s v="BN-PCM-2603"/>
    <s v="Paracetamol"/>
    <s v="Finished Product"/>
    <d v="2026-04-08T00:00:00"/>
    <d v="1899-12-30T14:20:00"/>
    <s v="Production"/>
    <s v="SK"/>
    <n v="50"/>
    <s v="Tablets"/>
    <s v="Acceptable"/>
    <s v="15–25°C"/>
    <s v="None"/>
    <d v="2026-04-02T00:00:00"/>
    <d v="2029-04-01T00:00:00"/>
    <x v="3"/>
    <s v="Standard"/>
    <m/>
  </r>
  <r>
    <s v="SMP-2026-0005"/>
    <s v="BN-PCM-RM01"/>
    <s v="Paracetamol"/>
    <s v="Raw Material"/>
    <d v="2026-04-12T00:00:00"/>
    <d v="1899-12-30T08:45:00"/>
    <s v="Warehouse"/>
    <s v="JM"/>
    <n v="200"/>
    <s v="g"/>
    <s v="Acceptable"/>
    <s v="15–25°C"/>
    <s v="None"/>
    <d v="2026-04-05T00:00:00"/>
    <d v="2028-04-04T00:00:00"/>
    <x v="4"/>
    <s v="Standard"/>
    <s v="API receipt"/>
  </r>
  <r>
    <s v="SMP-2026-0006"/>
    <s v="BN-PCM-RM02"/>
    <s v="Paracetamol"/>
    <s v="Raw Material"/>
    <d v="2026-04-14T00:00:00"/>
    <d v="1899-12-30T09:30:00"/>
    <s v="Warehouse"/>
    <s v="AOB"/>
    <n v="250"/>
    <s v="g"/>
    <s v="Damaged"/>
    <s v="15–25°C"/>
    <s v="None"/>
    <d v="2026-04-08T00:00:00"/>
    <d v="2028-04-07T00:00:00"/>
    <x v="1"/>
    <s v="Urgent"/>
    <s v="Container Seal Compromised"/>
  </r>
  <r>
    <s v="SMP-2026-0007"/>
    <s v="BN-PCM-ST01"/>
    <s v="Paracetamol"/>
    <s v="Stability"/>
    <d v="2026-04-20T00:00:00"/>
    <d v="1899-12-30T13:00:00"/>
    <s v="Stability Chamber"/>
    <s v="AOB"/>
    <n v="20"/>
    <s v="Tablets"/>
    <s v="Acceptable"/>
    <s v="25-30°C / 60% RH"/>
    <s v="None"/>
    <d v="2025-10-15T00:00:00"/>
    <d v="2028-10-14T00:00:00"/>
    <x v="4"/>
    <s v="Stability"/>
    <s v="6 Month timepoint"/>
  </r>
  <r>
    <s v="SMP-2026-0008"/>
    <s v="BN-PCM-ST02"/>
    <s v="Paracetamol"/>
    <s v="Stability"/>
    <d v="2026-04-22T00:00:00"/>
    <d v="1899-12-30T13:30:00"/>
    <s v="Stability Chamber"/>
    <s v="SK"/>
    <n v="20"/>
    <s v="Tablets"/>
    <s v="Acceptable"/>
    <s v="40°C / 75% RH"/>
    <s v="None"/>
    <d v="2025-10-15T00:00:00"/>
    <d v="2028-10-14T00:00:00"/>
    <x v="3"/>
    <s v="Stability"/>
    <s v="Accelerated 6 month"/>
  </r>
  <r>
    <s v="SMP-2026-0009"/>
    <s v="BN-OZE-2602"/>
    <s v="Ozempic"/>
    <s v="Finished Product"/>
    <d v="2026-04-05T00:00:00"/>
    <d v="1899-12-30T10:00:00"/>
    <s v="Production"/>
    <s v="MM"/>
    <n v="5"/>
    <s v="Vials"/>
    <s v="Acceptable"/>
    <s v="2–8°C"/>
    <s v="Biohazard"/>
    <d v="2026-04-01T00:00:00"/>
    <d v="2028-03-31T00:00:00"/>
    <x v="2"/>
    <s v="Standard"/>
    <m/>
  </r>
  <r>
    <s v="SMP-2026-0010"/>
    <s v="BN-OZE-2603"/>
    <s v="Ozempic"/>
    <s v="Finished Product"/>
    <d v="2026-04-11T00:00:00"/>
    <d v="1899-12-30T11:45:00"/>
    <s v="Production"/>
    <s v="AOB"/>
    <n v="5"/>
    <s v="Vials"/>
    <s v="Acceptable"/>
    <s v="2–8°C"/>
    <s v="Biohazard"/>
    <d v="2026-04-06T00:00:00"/>
    <d v="2028-04-05T00:00:00"/>
    <x v="3"/>
    <s v="Standard"/>
    <m/>
  </r>
  <r>
    <s v="SMP-2026-0011"/>
    <s v="BN-OZE-2604"/>
    <s v="Ozempic"/>
    <s v="Finished Product"/>
    <d v="2026-04-16T00:00:00"/>
    <d v="1899-12-30T10:15:00"/>
    <s v="Production"/>
    <s v="JM"/>
    <n v="5"/>
    <s v="Vials"/>
    <s v="Leaking"/>
    <s v="2–8°C"/>
    <s v="Biohazard"/>
    <d v="2026-04-12T00:00:00"/>
    <d v="2028-04-11T00:00:00"/>
    <x v="0"/>
    <s v="Urgent"/>
    <s v="Vial Seal Failure"/>
  </r>
  <r>
    <s v="SMP-2026-0012"/>
    <s v="BN-OZE-RM01"/>
    <s v="Ozempic"/>
    <s v="Raw Material"/>
    <d v="2026-04-06T00:00:00"/>
    <d v="1899-12-30T09:00:00"/>
    <s v="External"/>
    <s v="MM"/>
    <n v="50"/>
    <s v="mg"/>
    <s v="Acceptable"/>
    <s v="−20°C"/>
    <s v="Biohazard"/>
    <d v="2026-04-01T00:00:00"/>
    <d v="2027-03-31T00:00:00"/>
    <x v="2"/>
    <s v="Standard"/>
    <s v="Peptide API"/>
  </r>
  <r>
    <s v="SMP-2026-0013"/>
    <s v="BN-OZE-RM02"/>
    <s v="Ozempic"/>
    <s v="Raw Material"/>
    <d v="2026-04-19T00:00:00"/>
    <d v="1899-12-30T14:00:00"/>
    <s v="External"/>
    <s v="AOB"/>
    <n v="100"/>
    <s v="mg"/>
    <s v="Acceptable"/>
    <s v="−20°C"/>
    <s v="Biohazard"/>
    <d v="2026-04-14T00:00:00"/>
    <d v="2027-04-13T00:00:00"/>
    <x v="4"/>
    <s v="Standard"/>
    <m/>
  </r>
  <r>
    <s v="SMP-2026-0014"/>
    <s v="BN-OZE-ST01"/>
    <s v="Ozempic"/>
    <s v="Stability"/>
    <d v="2026-04-23T00:00:00"/>
    <d v="1899-12-30T12:30:00"/>
    <s v="Stability Chamber"/>
    <s v="SK"/>
    <n v="3"/>
    <s v="Vials"/>
    <s v="Acceptable"/>
    <s v="2–8°C"/>
    <s v="Biohazard"/>
    <d v="2025-10-20T00:00:00"/>
    <d v="2027-10-19T00:00:00"/>
    <x v="4"/>
    <s v="Stability"/>
    <s v="Long term, 6-month"/>
  </r>
  <r>
    <s v="SMP-2026-0015"/>
    <s v="BN-IBU-2601"/>
    <s v="Ibuprofen"/>
    <s v="Finished Product"/>
    <d v="2026-04-09T00:00:00"/>
    <d v="1899-12-30T09:45:00"/>
    <s v="Production"/>
    <s v="JM"/>
    <n v="40"/>
    <s v="Tablets"/>
    <s v="Acceptable"/>
    <s v="15–25°C"/>
    <s v="None"/>
    <d v="2026-04-04T00:00:00"/>
    <d v="2029-04-03T00:00:00"/>
    <x v="2"/>
    <s v="Standard"/>
    <s v="Gelatin-coated"/>
  </r>
  <r>
    <s v="SMP-2026-0016"/>
    <s v="BN-IBU-2602"/>
    <s v="Ibuprofen"/>
    <s v="Finished Product"/>
    <d v="2026-04-17T00:00:00"/>
    <d v="1899-12-30T10:30:00"/>
    <s v="Production"/>
    <s v="AOB"/>
    <n v="40"/>
    <s v="Tablets"/>
    <s v="Acceptable"/>
    <s v="15–25°C"/>
    <s v="None"/>
    <d v="2026-04-12T00:00:00"/>
    <d v="2029-04-11T00:00:00"/>
    <x v="4"/>
    <s v="Standard"/>
    <m/>
  </r>
  <r>
    <s v="SMP-2026-0017"/>
    <s v="BN-IBU-RMO1"/>
    <s v="Ibuprofen"/>
    <s v="Raw Material"/>
    <d v="2026-04-13T00:00:00"/>
    <d v="1899-12-30T08:30:00"/>
    <s v="Warehouse"/>
    <s v="SK"/>
    <n v="300"/>
    <s v="g"/>
    <s v="Acceptable"/>
    <s v="15–25°C"/>
    <s v="None"/>
    <d v="2026-04-06T00:00:00"/>
    <d v="2028-04-05T00:00:00"/>
    <x v="3"/>
    <s v="Standard"/>
    <m/>
  </r>
  <r>
    <s v="SMP-2026-0018"/>
    <s v="BN-IBU-ST01"/>
    <s v="Ibuprofen"/>
    <s v="Stability"/>
    <d v="2026-04-25T00:00:00"/>
    <d v="1899-12-30T13:15:00"/>
    <s v="Stability Chamber"/>
    <s v="MM"/>
    <n v="25"/>
    <s v="Tablets"/>
    <s v="Acceptable"/>
    <s v="30°C / 65% "/>
    <s v="None"/>
    <d v="2025-10-18T00:00:00"/>
    <d v="2028-10-17T00:00:00"/>
    <x v="4"/>
    <s v="Stability"/>
    <s v="Intermediate, 6-mont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R-2026-0001"/>
    <s v="SMP-2026-0003"/>
    <x v="0"/>
    <s v="TM-002"/>
    <s v="HPLC Assay"/>
    <d v="2026-05-07T00:00:00"/>
    <d v="1899-12-30T11:15:45"/>
    <x v="0"/>
    <n v="95"/>
    <s v="% w/w"/>
    <n v="95"/>
    <n v="105"/>
    <x v="0"/>
    <m/>
  </r>
  <r>
    <s v="R-2026-0002"/>
    <s v="SMP-2026-0005"/>
    <x v="0"/>
    <s v="TM-001"/>
    <s v="pH Test"/>
    <d v="2026-05-03T00:00:00"/>
    <d v="1899-12-30T13:12:10"/>
    <x v="1"/>
    <n v="6.2"/>
    <s v="pH Units"/>
    <n v="5.5"/>
    <n v="6.5"/>
    <x v="0"/>
    <m/>
  </r>
  <r>
    <s v="R-2026-0003"/>
    <s v="SMP-2026-0010"/>
    <x v="1"/>
    <s v="TM-006"/>
    <s v="Microbial Count"/>
    <d v="2026-04-29T00:00:00"/>
    <d v="1899-12-30T15:50:39"/>
    <x v="2"/>
    <n v="10"/>
    <s v="CFU/g"/>
    <n v="0"/>
    <n v="100"/>
    <x v="0"/>
    <m/>
  </r>
  <r>
    <s v="R-2026-0004"/>
    <s v="SMP-2026-0004"/>
    <x v="0"/>
    <s v="TM-002"/>
    <s v="HPLC Assay"/>
    <d v="2026-05-07T00:00:00"/>
    <d v="1899-12-30T08:23:59"/>
    <x v="0"/>
    <n v="96.8"/>
    <s v="% w/w"/>
    <n v="95"/>
    <n v="105"/>
    <x v="0"/>
    <m/>
  </r>
  <r>
    <s v="R-2026-0005"/>
    <s v="SMP-2026-0003"/>
    <x v="0"/>
    <s v="TM-001"/>
    <s v="pH Test"/>
    <d v="2026-04-03T00:00:00"/>
    <d v="1899-12-30T09:30:00"/>
    <x v="0"/>
    <n v="6.1"/>
    <s v="pH Units"/>
    <n v="5.5"/>
    <n v="6.5"/>
    <x v="0"/>
    <m/>
  </r>
  <r>
    <s v="R-2026-0006"/>
    <s v="SMP-2026-0003"/>
    <x v="0"/>
    <s v="TM-002"/>
    <s v="HPLC Assay"/>
    <d v="2026-04-03T00:00:00"/>
    <d v="1899-12-30T11:15:00"/>
    <x v="0"/>
    <n v="99.7"/>
    <s v="% w/w"/>
    <n v="95"/>
    <n v="105"/>
    <x v="0"/>
    <m/>
  </r>
  <r>
    <s v="R-2026-0007"/>
    <s v="SMP-2026-0003"/>
    <x v="0"/>
    <s v="TM-004"/>
    <s v="Dissolution"/>
    <d v="2026-04-03T00:00:00"/>
    <d v="1899-12-30T14:00:00"/>
    <x v="3"/>
    <n v="92"/>
    <s v="% released"/>
    <n v="80"/>
    <n v="100"/>
    <x v="0"/>
    <m/>
  </r>
  <r>
    <s v="R-2026-0008"/>
    <s v="SMP-2026-0004"/>
    <x v="0"/>
    <s v="TM-001"/>
    <s v="pH Test"/>
    <d v="2026-04-09T00:00:00"/>
    <d v="1899-12-30T09:45:00"/>
    <x v="1"/>
    <n v="6"/>
    <s v="pH Units"/>
    <n v="5.5"/>
    <n v="6.5"/>
    <x v="0"/>
    <m/>
  </r>
  <r>
    <s v="R-2026-0009"/>
    <s v="SMP-2026-0004"/>
    <x v="0"/>
    <s v="TM-002"/>
    <s v="HPLC Assay"/>
    <d v="2026-04-09T00:00:00"/>
    <d v="1899-12-30T11:30:00"/>
    <x v="1"/>
    <n v="101.2"/>
    <s v="% w/w"/>
    <n v="95"/>
    <n v="105"/>
    <x v="0"/>
    <m/>
  </r>
  <r>
    <s v="R-2026-0010"/>
    <s v="SMP-2026-0004"/>
    <x v="0"/>
    <s v="TM-004"/>
    <s v="Dissolution"/>
    <d v="2026-04-09T00:00:00"/>
    <d v="1899-12-30T13:45:00"/>
    <x v="0"/>
    <n v="88"/>
    <s v="% released"/>
    <n v="80"/>
    <n v="100"/>
    <x v="0"/>
    <m/>
  </r>
  <r>
    <s v="R-2026-0011"/>
    <s v="SMP-2026-0007"/>
    <x v="0"/>
    <s v="TM-001"/>
    <s v="pH Test"/>
    <d v="2026-04-21T00:00:00"/>
    <d v="1899-12-30T09:00:00"/>
    <x v="0"/>
    <n v="5.8"/>
    <s v="pH Units"/>
    <n v="5.5"/>
    <n v="6.5"/>
    <x v="0"/>
    <m/>
  </r>
  <r>
    <s v="R-2026-0012"/>
    <s v="SMP-2026-0007"/>
    <x v="0"/>
    <s v="TM-002"/>
    <s v="HPLC Assay"/>
    <d v="2026-04-21T00:00:00"/>
    <d v="1899-12-30T10:30:00"/>
    <x v="3"/>
    <n v="96.4"/>
    <s v="% w/w"/>
    <n v="95"/>
    <n v="105"/>
    <x v="0"/>
    <m/>
  </r>
  <r>
    <s v="R-2026-0013"/>
    <s v="SMP-2026-0008"/>
    <x v="0"/>
    <s v="TM-002"/>
    <s v="HPLC Assay"/>
    <d v="2026-04-23T00:00:00"/>
    <d v="1899-12-30T09:15:00"/>
    <x v="0"/>
    <n v="94.1"/>
    <s v="% w/w"/>
    <n v="95"/>
    <n v="105"/>
    <x v="1"/>
    <s v="Accelerated Stability"/>
  </r>
  <r>
    <s v="R-2026-0014"/>
    <s v="SMP-2026-0009"/>
    <x v="1"/>
    <s v="TM-001"/>
    <s v="pH Test"/>
    <d v="2026-04-06T00:00:00"/>
    <d v="1899-12-30T09:30:00"/>
    <x v="2"/>
    <n v="7.2"/>
    <s v="pH Units"/>
    <n v="6.5"/>
    <n v="8"/>
    <x v="0"/>
    <m/>
  </r>
  <r>
    <s v="R-2026-0015"/>
    <s v="SMP-2026-0009"/>
    <x v="1"/>
    <s v="TM-002"/>
    <s v="HPLC Assay"/>
    <d v="2026-04-06T00:00:00"/>
    <d v="1899-12-30T11:30:00"/>
    <x v="2"/>
    <n v="100.4"/>
    <s v="% w/w"/>
    <n v="98"/>
    <n v="102"/>
    <x v="0"/>
    <m/>
  </r>
  <r>
    <s v="R-2026-0016"/>
    <s v="SMP-2026-0009"/>
    <x v="1"/>
    <s v="TM-006"/>
    <s v="Microbial Count"/>
    <d v="2026-04-06T00:00:00"/>
    <d v="1899-12-30T14:00:00"/>
    <x v="3"/>
    <n v="12"/>
    <s v="CFU/g"/>
    <n v="0"/>
    <n v="100"/>
    <x v="0"/>
    <m/>
  </r>
  <r>
    <s v="R-2026-0017"/>
    <s v="SMP-2026-0010"/>
    <x v="1"/>
    <s v="TM-001"/>
    <s v="pH Test"/>
    <d v="2026-04-12T00:00:00"/>
    <d v="1899-12-30T09:45:00"/>
    <x v="0"/>
    <n v="7.4"/>
    <s v="pH Units"/>
    <n v="6.5"/>
    <n v="8"/>
    <x v="0"/>
    <m/>
  </r>
  <r>
    <s v="R-2026-0018"/>
    <s v="SMP-2026-0010"/>
    <x v="1"/>
    <s v="TM-002"/>
    <s v="HPLC Assay"/>
    <d v="2026-04-12T00:00:00"/>
    <d v="1899-12-30T11:30:00"/>
    <x v="0"/>
    <n v="99.8"/>
    <s v="% w/w"/>
    <n v="98"/>
    <n v="102"/>
    <x v="0"/>
    <m/>
  </r>
  <r>
    <s v="R-2026-0019"/>
    <s v="SMP-2026-0011"/>
    <x v="1"/>
    <s v="TM-001"/>
    <s v="pH Test"/>
    <d v="2026-04-17T00:00:00"/>
    <d v="1899-12-30T09:30:00"/>
    <x v="1"/>
    <n v="7"/>
    <s v="pH Units"/>
    <n v="6.5"/>
    <n v="8"/>
    <x v="0"/>
    <m/>
  </r>
  <r>
    <s v="R-2026-0020"/>
    <s v="SMP-2026-0011"/>
    <x v="1"/>
    <s v="TM-002"/>
    <s v="HPLC Assay"/>
    <d v="2026-04-17T00:00:00"/>
    <d v="1899-12-30T11:15:00"/>
    <x v="1"/>
    <n v="96.2"/>
    <s v="% w/w"/>
    <n v="98"/>
    <n v="102"/>
    <x v="1"/>
    <s v="Pre-Rejection"/>
  </r>
  <r>
    <s v="R-2026-0021"/>
    <s v="SMP-2026-0014"/>
    <x v="1"/>
    <s v="TM-001"/>
    <s v="pH Test"/>
    <d v="2026-04-24T00:00:00"/>
    <d v="1899-12-30T13:00:00"/>
    <x v="3"/>
    <n v="7.3"/>
    <s v="pH Units"/>
    <n v="6.5"/>
    <n v="8"/>
    <x v="0"/>
    <m/>
  </r>
  <r>
    <s v="R-2026-0022"/>
    <s v="SMP-2026-0014"/>
    <x v="1"/>
    <s v="TM-002"/>
    <s v="HPLC Assay"/>
    <d v="2026-04-24T00:00:00"/>
    <d v="1899-12-30T14:30:00"/>
    <x v="3"/>
    <n v="99.1"/>
    <s v="% w/w"/>
    <n v="98"/>
    <n v="102"/>
    <x v="0"/>
    <m/>
  </r>
  <r>
    <s v="R-2026-0023"/>
    <s v="SMP-2026-0015"/>
    <x v="2"/>
    <s v="TM-002"/>
    <s v="HPLC Assay"/>
    <d v="2026-04-10T00:00:00"/>
    <d v="1899-12-30T09:30:00"/>
    <x v="1"/>
    <n v="102.5"/>
    <s v="% w/w"/>
    <n v="90"/>
    <n v="110"/>
    <x v="0"/>
    <m/>
  </r>
  <r>
    <s v="R-2026-0024"/>
    <s v="SMP-2026-0015"/>
    <x v="2"/>
    <s v="TM-004"/>
    <s v="Dissolution"/>
    <d v="2026-04-10T00:00:00"/>
    <d v="1899-12-30T11:15:00"/>
    <x v="1"/>
    <n v="95"/>
    <s v="% released"/>
    <n v="80"/>
    <n v="100"/>
    <x v="0"/>
    <m/>
  </r>
  <r>
    <s v="R-2026-0025"/>
    <s v="SMP-2026-0015"/>
    <x v="2"/>
    <s v="TM-005"/>
    <s v="Water Content (KF)"/>
    <d v="2026-04-10T00:00:00"/>
    <d v="1899-12-30T13:30:00"/>
    <x v="0"/>
    <n v="3.2"/>
    <s v="% w/w"/>
    <n v="0"/>
    <n v="5"/>
    <x v="0"/>
    <m/>
  </r>
  <r>
    <s v="R-2026-0026"/>
    <s v="SMP-2026-0016"/>
    <x v="2"/>
    <s v="TM-002"/>
    <s v="HPLC Assay"/>
    <d v="2026-04-18T00:00:00"/>
    <d v="1899-12-30T09:15:00"/>
    <x v="2"/>
    <n v="89.5"/>
    <s v="% w/w"/>
    <n v="90"/>
    <n v="110"/>
    <x v="1"/>
    <s v="OOS Investigation Pending"/>
  </r>
  <r>
    <s v="R-2026-0027"/>
    <s v="SMP-2026-0016"/>
    <x v="2"/>
    <s v="TM-004"/>
    <s v="Dissolution"/>
    <d v="2026-04-18T00:00:00"/>
    <d v="1899-12-30T11:30:00"/>
    <x v="2"/>
    <n v="78"/>
    <s v="% released"/>
    <n v="80"/>
    <n v="100"/>
    <x v="1"/>
    <s v="OOS Investigation Pending"/>
  </r>
  <r>
    <s v="R-2026-0028"/>
    <s v="SMP-2026-0018"/>
    <x v="2"/>
    <s v="TM-002"/>
    <s v="HPLC Assay"/>
    <d v="2026-04-27T00:00:00"/>
    <d v="1899-12-30T13:30:00"/>
    <x v="0"/>
    <n v="100.8"/>
    <s v="% w/w"/>
    <n v="90"/>
    <n v="110"/>
    <x v="0"/>
    <m/>
  </r>
  <r>
    <s v="R-2026-0029"/>
    <s v="SMP-2026-0007"/>
    <x v="0"/>
    <s v="TM-004"/>
    <s v="Dissolution"/>
    <d v="2026-05-09T00:00:00"/>
    <d v="1899-12-30T16:00:00"/>
    <x v="2"/>
    <n v="76.2"/>
    <s v="% released"/>
    <n v="80"/>
    <n v="100"/>
    <x v="1"/>
    <m/>
  </r>
  <r>
    <m/>
    <m/>
    <x v="3"/>
    <m/>
    <m/>
    <m/>
    <m/>
    <x v="4"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781CA-1519-4428-83A7-6877EB03FAE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nalyst">
  <location ref="A27:B32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Count " fld="0" subtotal="count" baseField="0" baseItem="0"/>
  </dataFields>
  <formats count="1">
    <format dxfId="26">
      <pivotArea collapsedLevelsAreSubtotals="1" fieldPosition="0">
        <references count="1">
          <reference field="7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BE30F-AB4E-4275-9F04-29F018A4E4B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E10:H15" firstHeaderRow="1" firstDataRow="2" firstDataCol="1"/>
  <pivotFields count="14">
    <pivotField dataField="1"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h="1" x="2"/>
        <item h="1" m="1" x="3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Result ID" fld="0" subtotal="count" baseField="0" baseItem="0"/>
  </dataFields>
  <formats count="6">
    <format dxfId="32">
      <pivotArea dataOnly="0" labelOnly="1" fieldPosition="0">
        <references count="1">
          <reference field="12" count="1">
            <x v="0"/>
          </reference>
        </references>
      </pivotArea>
    </format>
    <format dxfId="31">
      <pivotArea dataOnly="0" labelOnly="1" fieldPosition="0">
        <references count="1">
          <reference field="12" count="1">
            <x v="1"/>
          </reference>
        </references>
      </pivotArea>
    </format>
    <format dxfId="30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29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28">
      <pivotArea outline="0" collapsedLevelsAreSubtotals="1" fieldPosition="0">
        <references count="1">
          <reference field="12" count="1" selected="0">
            <x v="1"/>
          </reference>
        </references>
      </pivotArea>
    </format>
    <format dxfId="27">
      <pivotArea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E5592-B7ED-4087-B6F7-AF89086CD940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8" rowHeaderCaption="Status">
  <location ref="A10:B16" firstHeaderRow="1" firstDataRow="1" firstDataCol="1"/>
  <pivotFields count="18"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numFmtId="15" showAll="0"/>
    <pivotField axis="axisRow" dataField="1" showAll="0">
      <items count="6">
        <item x="3"/>
        <item x="4"/>
        <item x="1"/>
        <item x="0"/>
        <item x="2"/>
        <item t="default"/>
      </items>
    </pivotField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" fld="15" subtotal="count" baseField="0" baseItem="0"/>
  </dataFields>
  <formats count="1">
    <format dxfId="3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E10984-6584-4A72-A9DD-120CFE8B06D8}" name="tblSamples" displayName="tblSamples" ref="A1:R20" totalsRowShown="0" headerRowDxfId="61">
  <autoFilter ref="A1:R20" xr:uid="{A8E10984-6584-4A72-A9DD-120CFE8B06D8}"/>
  <tableColumns count="18">
    <tableColumn id="1" xr3:uid="{6A7E2AC3-E6E8-4F11-950A-99A6A10D976B}" name="Sample Id"/>
    <tableColumn id="2" xr3:uid="{BE35E451-0E85-49C9-9C62-F89D48E1D599}" name="Batch No."/>
    <tableColumn id="3" xr3:uid="{4D78D086-9999-4A73-B0B5-1FAC834E8680}" name="Product Name"/>
    <tableColumn id="4" xr3:uid="{914F1F1A-0C45-4A91-A93D-8D6C52DE6857}" name="Sample Type"/>
    <tableColumn id="5" xr3:uid="{B800578F-ADE9-4892-B1F4-E27DC0EB24A8}" name="Date Received" dataDxfId="60"/>
    <tableColumn id="6" xr3:uid="{13D39840-7B54-4F13-8FCB-49641762FBAF}" name="Time Received" dataDxfId="59"/>
    <tableColumn id="7" xr3:uid="{A3A40DA2-1231-4D8E-8818-CB67A71DB62F}" name="Received From"/>
    <tableColumn id="8" xr3:uid="{375027C2-3389-4B3C-AD1B-51A88C2E1580}" name="Logged By"/>
    <tableColumn id="9" xr3:uid="{0C72637D-821A-41FA-A906-0D7BA9C92E06}" name="Quantity Received"/>
    <tableColumn id="10" xr3:uid="{6D2375CD-0091-4E16-AD63-DA072B55442F}" name="Unit"/>
    <tableColumn id="11" xr3:uid="{1D4EC420-7042-40C3-8DEC-3ACA2BBA0262}" name="Condition on Receipt" dataDxfId="58"/>
    <tableColumn id="12" xr3:uid="{68F4EA2E-0B7E-4968-B282-3FF83E1AAEB2}" name="Storage Condition"/>
    <tableColumn id="13" xr3:uid="{EDE02A8C-CE1A-4670-B047-543D966CBFD5}" name="Hazard Level"/>
    <tableColumn id="14" xr3:uid="{7CE34511-E9D9-4B60-9DC6-F3B0F435EE52}" name="Manufacture Date" dataDxfId="57"/>
    <tableColumn id="15" xr3:uid="{347F9F45-39D6-4B30-A5C3-8DAF0C96EE03}" name="Expiry Date" dataDxfId="56"/>
    <tableColumn id="16" xr3:uid="{AF22632C-191F-4382-81DD-1609FFA18938}" name="Sample Status" dataDxfId="55"/>
    <tableColumn id="17" xr3:uid="{922BC010-D74A-4AE0-82F1-45F37D95B9A0}" name="Priority"/>
    <tableColumn id="18" xr3:uid="{4387F2B9-5C27-4759-95E6-8C4EB5C183C6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EC4D8-970F-424E-93DF-F29627EF8EE7}" name="tblMethods" displayName="tblMethods" ref="A1:F9" totalsRowShown="0" headerRowDxfId="54">
  <autoFilter ref="A1:F9" xr:uid="{63FEC4D8-970F-424E-93DF-F29627EF8EE7}"/>
  <tableColumns count="6">
    <tableColumn id="1" xr3:uid="{357BACBC-24D5-42DF-8AEC-36441827850C}" name="Method ID"/>
    <tableColumn id="2" xr3:uid="{3F457915-144D-4CD9-8723-C39532808721}" name="Method Name"/>
    <tableColumn id="3" xr3:uid="{96FDA7FC-F1DF-499A-B267-7C1478478D23}" name="SOP Number"/>
    <tableColumn id="4" xr3:uid="{61F1C4A3-33C1-4FA8-8EF7-71F4F642915D}" name="Equipment"/>
    <tableColumn id="5" xr3:uid="{078A054B-B990-4A9C-84C8-1F7499A16143}" name="Unit"/>
    <tableColumn id="6" xr3:uid="{B3A50836-F604-4BB2-8CC2-D210DD2A0849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DFCB7B-27EC-4946-8CA5-9A15F321AB07}" name="tblSpecs" displayName="tblSpecs" ref="A1:J12" totalsRowShown="0" headerRowDxfId="53">
  <autoFilter ref="A1:J12" xr:uid="{7CDFCB7B-27EC-4946-8CA5-9A15F321AB07}"/>
  <tableColumns count="10">
    <tableColumn id="1" xr3:uid="{1B23244F-7DC0-47F2-AEC9-1127DE2701D6}" name="Spec Id"/>
    <tableColumn id="2" xr3:uid="{B449FEE7-CA44-4740-B1C2-DC6918834C98}" name="Product Name"/>
    <tableColumn id="3" xr3:uid="{324D9429-D761-4454-A364-07E4C40F6172}" name="Method Id"/>
    <tableColumn id="4" xr3:uid="{BA899477-69D1-4249-9F1E-A48C4FA641EB}" name="Method Name"/>
    <tableColumn id="5" xr3:uid="{09B64992-08F9-44BA-B39D-4C23BD4E4E60}" name="Lower Limit"/>
    <tableColumn id="6" xr3:uid="{70499A03-A6A1-452E-9896-D63517514A9A}" name="Upper Limit"/>
    <tableColumn id="7" xr3:uid="{04A5343F-DB69-4C38-BB3D-CB2D0D1EB015}" name="Unit"/>
    <tableColumn id="8" xr3:uid="{0D525268-8F3A-4E0F-9CE7-3DD55D88C443}" name="SOP Version"/>
    <tableColumn id="9" xr3:uid="{FC83C29F-6464-4F04-9B2C-1857D377055C}" name="Effective Date" dataDxfId="52"/>
    <tableColumn id="10" xr3:uid="{660BE0E6-6016-493E-909A-D9AE64761782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F65CB6-4493-4F2D-8742-F6EA9362E7F3}" name="tblResults" displayName="tblResults" ref="A1:N31" totalsRowShown="0" headerRowDxfId="51" dataDxfId="50">
  <autoFilter ref="A1:N31" xr:uid="{B0F65CB6-4493-4F2D-8742-F6EA9362E7F3}"/>
  <tableColumns count="14">
    <tableColumn id="1" xr3:uid="{C1232EC1-1394-4EB8-9F28-2BC57D1F6FF4}" name="Result ID" dataDxfId="49"/>
    <tableColumn id="2" xr3:uid="{66CB809F-8719-4676-B67B-AAC7242E1B74}" name="Sample ID" dataDxfId="48"/>
    <tableColumn id="3" xr3:uid="{81B2787C-8719-4589-B00F-BA0BCCB724E9}" name="Product Name" dataDxfId="47">
      <calculatedColumnFormula>IF(tblResults[[#This Row],[Sample ID]]="", "", _xlfn.XLOOKUP(tblResults[[#This Row],[Sample ID]], Samples!A:A, Samples!C:C, ""))</calculatedColumnFormula>
    </tableColumn>
    <tableColumn id="4" xr3:uid="{A793E2C7-8E18-4930-9146-8C1625A25363}" name="Method ID" dataDxfId="46"/>
    <tableColumn id="5" xr3:uid="{245B2FA0-BA52-46F9-BA17-15E5C9EA1C8B}" name="Method Name" dataDxfId="45">
      <calculatedColumnFormula>IF(tblResults[[#This Row],[Method ID]]="", "", _xlfn.XLOOKUP(tblResults[[#This Row],[Method ID]], 'Test Methods'!A:A, 'Test Methods'!B:B, ""))</calculatedColumnFormula>
    </tableColumn>
    <tableColumn id="6" xr3:uid="{C4610916-DD08-476C-9723-104681E2A589}" name="Test Date" dataDxfId="44"/>
    <tableColumn id="7" xr3:uid="{FD04A6F5-9D35-4C01-8726-B6FB45E2C9A0}" name="Test Time" dataDxfId="43"/>
    <tableColumn id="8" xr3:uid="{E3CEF825-BBD8-4FD8-83EB-F1FC7A0E6ABD}" name="Analyst" dataDxfId="42"/>
    <tableColumn id="9" xr3:uid="{D707A8A6-7F64-455E-BF9B-9F8324A69485}" name="Measured Value" dataDxfId="41"/>
    <tableColumn id="10" xr3:uid="{CF0A9B71-81A7-44FA-94E9-5F288909C973}" name="Unit" dataDxfId="40">
      <calculatedColumnFormula array="1">IF(OR(tblResults[[#This Row],[Product Name]]="", tblResults[[#This Row],[Method Name]]=""), "", _xlfn.XLOOKUP(tblResults[[#This Row],[Product Name]]&amp;tblResults[[#This Row],[Method Name]], Specifications!B:B&amp;Specifications!D:D, Specifications!G:G, "No Spec"))</calculatedColumnFormula>
    </tableColumn>
    <tableColumn id="11" xr3:uid="{F1E69D6A-869D-4476-BFAB-E7C494FF9967}" name="Lower Limit" dataDxfId="39">
      <calculatedColumnFormula array="1">IF(OR(tblResults[[#This Row],[Product Name]]="", tblResults[[#This Row],[Method Name]]=""), "", _xlfn.XLOOKUP(tblResults[[#This Row],[Product Name]]&amp;tblResults[[#This Row],[Method Name]], Specifications!B:B&amp;Specifications!D:D, Specifications!E:E, "No Spec"))</calculatedColumnFormula>
    </tableColumn>
    <tableColumn id="12" xr3:uid="{888B0E00-9097-4524-86A3-711382D3EA69}" name="Upper Limit" dataDxfId="38">
      <calculatedColumnFormula array="1">IF(OR(tblResults[[#This Row],[Product Name]]="", tblResults[[#This Row],[Method Name]]=""), "", _xlfn.XLOOKUP(tblResults[[#This Row],[Product Name]]&amp;tblResults[[#This Row],[Method Name]], Specifications!B:B&amp;Specifications!D:D, Specifications!F:F, "No Spec"))</calculatedColumnFormula>
    </tableColumn>
    <tableColumn id="13" xr3:uid="{522EAE99-8FBD-4DEF-9CDA-3EA284812D9D}" name="Pass/Fail" dataDxfId="37">
      <calculatedColumnFormula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calculatedColumnFormula>
    </tableColumn>
    <tableColumn id="14" xr3:uid="{2B87FF36-7C6A-406C-A2C9-33BFAB490194}" name="Comments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20E5C-ACC7-46C3-A20B-5CAB68EAC732}" name="tblCoC" displayName="tblCoC" ref="A1:I14" totalsRowShown="0">
  <autoFilter ref="A1:I14" xr:uid="{64C20E5C-ACC7-46C3-A20B-5CAB68EAC732}"/>
  <tableColumns count="9">
    <tableColumn id="1" xr3:uid="{B3256F57-7FA4-4D5C-BB25-984C8AFD7C26}" name="CoC ID"/>
    <tableColumn id="2" xr3:uid="{1B4CEEF1-73EC-417D-A5F4-70A1319C73D5}" name="Sample ID"/>
    <tableColumn id="3" xr3:uid="{D20C69EA-3CE4-4C6E-BB35-1E64146D4E25}" name="Date" dataDxfId="35"/>
    <tableColumn id="4" xr3:uid="{9B505CC4-C8CE-424C-BA9C-55B184C6027E}" name="Time" dataDxfId="34"/>
    <tableColumn id="5" xr3:uid="{32BCC193-522F-4C71-89C1-129DAD9E744C}" name="Action"/>
    <tableColumn id="6" xr3:uid="{D36C9E02-57AC-4E1E-B2C5-4B6BEFD5AB42}" name="From Location"/>
    <tableColumn id="7" xr3:uid="{12B2101E-801F-4F22-810D-251214E9FC67}" name="To Location"/>
    <tableColumn id="8" xr3:uid="{93D8C1F9-218A-4839-9531-54F7C4319AF0}" name="Handled By"/>
    <tableColumn id="9" xr3:uid="{6E86A355-EDCB-4689-AC56-614E7D67B470}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DEA19B-8614-435E-A303-FDB003005CC2}" name="tblAudit" displayName="tblAudit" ref="A1:K12" totalsRowShown="0" headerRowDxfId="64">
  <autoFilter ref="A1:K12" xr:uid="{63DEA19B-8614-435E-A303-FDB003005CC2}"/>
  <tableColumns count="11">
    <tableColumn id="1" xr3:uid="{629AA48C-6995-4239-A15A-147FE22F8D5F}" name="Audit ID "/>
    <tableColumn id="2" xr3:uid="{86A9547A-5248-44F9-B870-125472ADAE31}" name="Date" dataDxfId="63"/>
    <tableColumn id="3" xr3:uid="{C319341B-BE69-4E9E-A451-C786E02DA3C7}" name="Time" dataDxfId="62"/>
    <tableColumn id="4" xr3:uid="{73572935-E146-47AF-B13A-895DD26D8ED5}" name="User"/>
    <tableColumn id="5" xr3:uid="{20002123-75E2-4711-9DA7-7D0DA62F2B39}" name="Sheet Affected"/>
    <tableColumn id="6" xr3:uid="{E2984E1D-7974-4440-8985-A17625529F10}" name="Record ID"/>
    <tableColumn id="7" xr3:uid="{C24E11D3-2A46-4130-938A-AB4932C72F7E}" name="Field Changed"/>
    <tableColumn id="8" xr3:uid="{FE95A65A-29C1-40FF-B89E-BCCF976900C8}" name="Old Value"/>
    <tableColumn id="9" xr3:uid="{BD6A7C95-DBE3-4639-9942-8417120BBB8B}" name="New Value"/>
    <tableColumn id="10" xr3:uid="{58848D4C-48C8-4943-A82F-E1EEF6A2C11A}" name="Reason for Change"/>
    <tableColumn id="11" xr3:uid="{8D17AE0C-DCC6-458C-8E61-AD4D0F60FAD8}" name="Approved B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99C259-B8EC-4BDD-B64B-8BFA49C6BF5D}" name="tblAnalysts" displayName="tblAnalysts" ref="A1:F7" totalsRowShown="0" headerRowDxfId="25">
  <autoFilter ref="A1:F7" xr:uid="{9199C259-B8EC-4BDD-B64B-8BFA49C6BF5D}"/>
  <tableColumns count="6">
    <tableColumn id="1" xr3:uid="{C70A18B6-5810-4632-9028-9217C74C0906}" name="Analysts Id"/>
    <tableColumn id="2" xr3:uid="{8570D264-B5D2-451E-884F-D5D950EAE8AB}" name="Initials"/>
    <tableColumn id="3" xr3:uid="{6C770F57-FAD2-4332-81B5-326584206A16}" name="Full Name"/>
    <tableColumn id="4" xr3:uid="{211E423C-3F58-4A85-93B1-26AF067C89EF}" name="Role"/>
    <tableColumn id="5" xr3:uid="{4BEF723D-148D-411E-869D-6F8E62261652}" name="Trained On Methods"/>
    <tableColumn id="6" xr3:uid="{BF35CA9E-B1DD-4359-B7DB-772C57626E9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68C9-FDAD-412B-AE25-0B802C93C140}">
  <dimension ref="A1:R20"/>
  <sheetViews>
    <sheetView zoomScale="62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R20" sqref="R20"/>
    </sheetView>
  </sheetViews>
  <sheetFormatPr defaultRowHeight="14.4" x14ac:dyDescent="0.3"/>
  <cols>
    <col min="1" max="1" width="16.109375" bestFit="1" customWidth="1"/>
    <col min="2" max="2" width="15.6640625" bestFit="1" customWidth="1"/>
    <col min="3" max="3" width="18.6640625" customWidth="1"/>
    <col min="4" max="4" width="17.77734375" customWidth="1"/>
    <col min="5" max="5" width="18.77734375" style="3" customWidth="1"/>
    <col min="6" max="7" width="19.5546875" customWidth="1"/>
    <col min="8" max="8" width="15" customWidth="1"/>
    <col min="9" max="9" width="23.33203125" customWidth="1"/>
    <col min="10" max="10" width="8.21875" bestFit="1" customWidth="1"/>
    <col min="11" max="11" width="26.109375" customWidth="1"/>
    <col min="12" max="12" width="22.88671875" customWidth="1"/>
    <col min="13" max="13" width="17.5546875" customWidth="1"/>
    <col min="14" max="14" width="22.5546875" style="3" customWidth="1"/>
    <col min="15" max="15" width="16" style="3" customWidth="1"/>
    <col min="16" max="16" width="19.21875" customWidth="1"/>
    <col min="17" max="17" width="11.33203125" customWidth="1"/>
    <col min="18" max="18" width="29.10937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25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1" t="s">
        <v>15</v>
      </c>
    </row>
    <row r="2" spans="1:18" x14ac:dyDescent="0.3">
      <c r="A2" t="s">
        <v>16</v>
      </c>
      <c r="B2" t="s">
        <v>175</v>
      </c>
      <c r="C2" t="s">
        <v>61</v>
      </c>
      <c r="D2" t="s">
        <v>56</v>
      </c>
      <c r="E2" s="9">
        <v>46138</v>
      </c>
      <c r="F2" s="18">
        <v>0.4375</v>
      </c>
      <c r="G2" t="s">
        <v>57</v>
      </c>
      <c r="H2" t="s">
        <v>39</v>
      </c>
      <c r="I2">
        <v>30</v>
      </c>
      <c r="J2" t="s">
        <v>152</v>
      </c>
      <c r="K2" s="16" t="s">
        <v>17</v>
      </c>
      <c r="L2" t="s">
        <v>18</v>
      </c>
      <c r="M2" t="s">
        <v>153</v>
      </c>
      <c r="N2" s="3">
        <v>46032</v>
      </c>
      <c r="O2" s="5">
        <v>47238</v>
      </c>
      <c r="P2" s="16" t="s">
        <v>154</v>
      </c>
      <c r="Q2" t="s">
        <v>19</v>
      </c>
      <c r="R2" t="s">
        <v>155</v>
      </c>
    </row>
    <row r="3" spans="1:18" x14ac:dyDescent="0.3">
      <c r="A3" t="s">
        <v>23</v>
      </c>
      <c r="B3" t="s">
        <v>176</v>
      </c>
      <c r="C3" t="s">
        <v>58</v>
      </c>
      <c r="D3" t="s">
        <v>59</v>
      </c>
      <c r="E3" s="9">
        <v>46099</v>
      </c>
      <c r="F3" s="18">
        <v>0.45833333333333331</v>
      </c>
      <c r="G3" t="s">
        <v>60</v>
      </c>
      <c r="H3" t="s">
        <v>55</v>
      </c>
      <c r="I3">
        <v>1.5</v>
      </c>
      <c r="J3" t="s">
        <v>151</v>
      </c>
      <c r="K3" s="16" t="s">
        <v>21</v>
      </c>
      <c r="L3" t="s">
        <v>26</v>
      </c>
      <c r="M3" t="s">
        <v>20</v>
      </c>
      <c r="N3" s="3">
        <v>45978</v>
      </c>
      <c r="O3" s="5">
        <v>46742</v>
      </c>
      <c r="P3" s="16" t="s">
        <v>22</v>
      </c>
      <c r="Q3" t="s">
        <v>157</v>
      </c>
      <c r="R3" t="s">
        <v>156</v>
      </c>
    </row>
    <row r="4" spans="1:18" x14ac:dyDescent="0.3">
      <c r="A4" t="s">
        <v>130</v>
      </c>
      <c r="B4" t="s">
        <v>177</v>
      </c>
      <c r="C4" t="s">
        <v>61</v>
      </c>
      <c r="D4" t="s">
        <v>56</v>
      </c>
      <c r="E4" s="9">
        <v>46114</v>
      </c>
      <c r="F4" s="10">
        <v>0.38541666666666669</v>
      </c>
      <c r="G4" t="s">
        <v>57</v>
      </c>
      <c r="H4" t="s">
        <v>38</v>
      </c>
      <c r="I4">
        <v>50</v>
      </c>
      <c r="J4" t="s">
        <v>152</v>
      </c>
      <c r="K4" s="16" t="s">
        <v>21</v>
      </c>
      <c r="L4" t="s">
        <v>18</v>
      </c>
      <c r="M4" t="s">
        <v>153</v>
      </c>
      <c r="N4" s="3">
        <v>46109</v>
      </c>
      <c r="O4" s="5">
        <v>47204</v>
      </c>
      <c r="P4" s="16" t="s">
        <v>158</v>
      </c>
      <c r="Q4" t="s">
        <v>19</v>
      </c>
    </row>
    <row r="5" spans="1:18" x14ac:dyDescent="0.3">
      <c r="A5" t="s">
        <v>131</v>
      </c>
      <c r="B5" t="s">
        <v>178</v>
      </c>
      <c r="C5" t="s">
        <v>61</v>
      </c>
      <c r="D5" t="s">
        <v>56</v>
      </c>
      <c r="E5" s="9">
        <v>46120</v>
      </c>
      <c r="F5" s="10">
        <v>0.59722222222222221</v>
      </c>
      <c r="G5" t="s">
        <v>57</v>
      </c>
      <c r="H5" t="s">
        <v>40</v>
      </c>
      <c r="I5">
        <v>50</v>
      </c>
      <c r="J5" t="s">
        <v>152</v>
      </c>
      <c r="K5" s="16" t="s">
        <v>21</v>
      </c>
      <c r="L5" t="s">
        <v>18</v>
      </c>
      <c r="M5" t="s">
        <v>153</v>
      </c>
      <c r="N5" s="3">
        <v>46114</v>
      </c>
      <c r="O5" s="5">
        <v>47209</v>
      </c>
      <c r="P5" s="16" t="s">
        <v>159</v>
      </c>
      <c r="Q5" t="s">
        <v>19</v>
      </c>
    </row>
    <row r="6" spans="1:18" x14ac:dyDescent="0.3">
      <c r="A6" t="s">
        <v>132</v>
      </c>
      <c r="B6" t="s">
        <v>179</v>
      </c>
      <c r="C6" t="s">
        <v>61</v>
      </c>
      <c r="D6" t="s">
        <v>59</v>
      </c>
      <c r="E6" s="9">
        <v>46124</v>
      </c>
      <c r="F6" s="10">
        <v>0.36458333333333331</v>
      </c>
      <c r="G6" t="s">
        <v>163</v>
      </c>
      <c r="H6" t="s">
        <v>38</v>
      </c>
      <c r="I6">
        <v>200</v>
      </c>
      <c r="J6" t="s">
        <v>151</v>
      </c>
      <c r="K6" s="16" t="s">
        <v>21</v>
      </c>
      <c r="L6" t="s">
        <v>18</v>
      </c>
      <c r="M6" t="s">
        <v>153</v>
      </c>
      <c r="N6" s="3">
        <v>46117</v>
      </c>
      <c r="O6" s="5">
        <v>46847</v>
      </c>
      <c r="P6" s="16" t="s">
        <v>24</v>
      </c>
      <c r="Q6" t="s">
        <v>19</v>
      </c>
      <c r="R6" t="s">
        <v>161</v>
      </c>
    </row>
    <row r="7" spans="1:18" x14ac:dyDescent="0.3">
      <c r="A7" t="s">
        <v>133</v>
      </c>
      <c r="B7" t="s">
        <v>180</v>
      </c>
      <c r="C7" t="s">
        <v>61</v>
      </c>
      <c r="D7" t="s">
        <v>59</v>
      </c>
      <c r="E7" s="9">
        <v>46126</v>
      </c>
      <c r="F7" s="10">
        <v>0.39583333333333331</v>
      </c>
      <c r="G7" t="s">
        <v>163</v>
      </c>
      <c r="H7" t="s">
        <v>39</v>
      </c>
      <c r="I7">
        <v>250</v>
      </c>
      <c r="J7" t="s">
        <v>151</v>
      </c>
      <c r="K7" s="16" t="s">
        <v>162</v>
      </c>
      <c r="L7" t="s">
        <v>18</v>
      </c>
      <c r="M7" t="s">
        <v>153</v>
      </c>
      <c r="N7" s="3">
        <v>46120</v>
      </c>
      <c r="O7" s="5">
        <v>46850</v>
      </c>
      <c r="P7" s="16" t="s">
        <v>22</v>
      </c>
      <c r="Q7" t="s">
        <v>157</v>
      </c>
      <c r="R7" t="s">
        <v>160</v>
      </c>
    </row>
    <row r="8" spans="1:18" x14ac:dyDescent="0.3">
      <c r="A8" t="s">
        <v>134</v>
      </c>
      <c r="B8" t="s">
        <v>181</v>
      </c>
      <c r="C8" t="s">
        <v>61</v>
      </c>
      <c r="D8" t="s">
        <v>164</v>
      </c>
      <c r="E8" s="9">
        <v>46132</v>
      </c>
      <c r="F8" s="10">
        <v>0.54166666666666663</v>
      </c>
      <c r="G8" t="s">
        <v>165</v>
      </c>
      <c r="H8" t="s">
        <v>39</v>
      </c>
      <c r="I8">
        <v>20</v>
      </c>
      <c r="J8" t="s">
        <v>152</v>
      </c>
      <c r="K8" s="16" t="s">
        <v>21</v>
      </c>
      <c r="L8" t="s">
        <v>194</v>
      </c>
      <c r="M8" t="s">
        <v>153</v>
      </c>
      <c r="N8" s="3">
        <v>45945</v>
      </c>
      <c r="O8" s="5">
        <v>47040</v>
      </c>
      <c r="P8" s="16" t="s">
        <v>24</v>
      </c>
      <c r="Q8" t="s">
        <v>164</v>
      </c>
      <c r="R8" t="s">
        <v>166</v>
      </c>
    </row>
    <row r="9" spans="1:18" x14ac:dyDescent="0.3">
      <c r="A9" t="s">
        <v>135</v>
      </c>
      <c r="B9" t="s">
        <v>182</v>
      </c>
      <c r="C9" t="s">
        <v>61</v>
      </c>
      <c r="D9" t="s">
        <v>164</v>
      </c>
      <c r="E9" s="9">
        <v>46134</v>
      </c>
      <c r="F9" s="10">
        <v>0.5625</v>
      </c>
      <c r="G9" t="s">
        <v>165</v>
      </c>
      <c r="H9" t="s">
        <v>40</v>
      </c>
      <c r="I9">
        <v>20</v>
      </c>
      <c r="J9" t="s">
        <v>152</v>
      </c>
      <c r="K9" s="16" t="s">
        <v>21</v>
      </c>
      <c r="L9" t="s">
        <v>195</v>
      </c>
      <c r="M9" t="s">
        <v>153</v>
      </c>
      <c r="N9" s="3">
        <v>45945</v>
      </c>
      <c r="O9" s="5">
        <v>47040</v>
      </c>
      <c r="P9" s="16" t="s">
        <v>159</v>
      </c>
      <c r="Q9" t="s">
        <v>164</v>
      </c>
      <c r="R9" t="s">
        <v>167</v>
      </c>
    </row>
    <row r="10" spans="1:18" x14ac:dyDescent="0.3">
      <c r="A10" t="s">
        <v>136</v>
      </c>
      <c r="B10" t="s">
        <v>183</v>
      </c>
      <c r="C10" t="s">
        <v>58</v>
      </c>
      <c r="D10" t="s">
        <v>56</v>
      </c>
      <c r="E10" s="9">
        <v>46117</v>
      </c>
      <c r="F10" s="10">
        <v>0.41666666666666669</v>
      </c>
      <c r="G10" t="s">
        <v>57</v>
      </c>
      <c r="H10" t="s">
        <v>55</v>
      </c>
      <c r="I10">
        <v>5</v>
      </c>
      <c r="J10" t="s">
        <v>63</v>
      </c>
      <c r="K10" s="16" t="s">
        <v>21</v>
      </c>
      <c r="L10" t="s">
        <v>26</v>
      </c>
      <c r="M10" t="s">
        <v>20</v>
      </c>
      <c r="N10" s="3">
        <v>46113</v>
      </c>
      <c r="O10" s="5">
        <v>46843</v>
      </c>
      <c r="P10" s="16" t="s">
        <v>158</v>
      </c>
      <c r="Q10" t="s">
        <v>19</v>
      </c>
    </row>
    <row r="11" spans="1:18" x14ac:dyDescent="0.3">
      <c r="A11" t="s">
        <v>137</v>
      </c>
      <c r="B11" t="s">
        <v>184</v>
      </c>
      <c r="C11" t="s">
        <v>58</v>
      </c>
      <c r="D11" t="s">
        <v>56</v>
      </c>
      <c r="E11" s="9">
        <v>46123</v>
      </c>
      <c r="F11" s="10">
        <v>0.48958333333333331</v>
      </c>
      <c r="G11" t="s">
        <v>57</v>
      </c>
      <c r="H11" t="s">
        <v>39</v>
      </c>
      <c r="I11">
        <v>5</v>
      </c>
      <c r="J11" t="s">
        <v>63</v>
      </c>
      <c r="K11" s="16" t="s">
        <v>21</v>
      </c>
      <c r="L11" t="s">
        <v>26</v>
      </c>
      <c r="M11" t="s">
        <v>20</v>
      </c>
      <c r="N11" s="3">
        <v>46118</v>
      </c>
      <c r="O11" s="5">
        <v>46848</v>
      </c>
      <c r="P11" s="16" t="s">
        <v>159</v>
      </c>
      <c r="Q11" t="s">
        <v>19</v>
      </c>
    </row>
    <row r="12" spans="1:18" x14ac:dyDescent="0.3">
      <c r="A12" t="s">
        <v>138</v>
      </c>
      <c r="B12" t="s">
        <v>185</v>
      </c>
      <c r="C12" t="s">
        <v>58</v>
      </c>
      <c r="D12" t="s">
        <v>56</v>
      </c>
      <c r="E12" s="9">
        <v>46128</v>
      </c>
      <c r="F12" s="10">
        <v>0.42708333333333331</v>
      </c>
      <c r="G12" t="s">
        <v>57</v>
      </c>
      <c r="H12" t="s">
        <v>38</v>
      </c>
      <c r="I12">
        <v>5</v>
      </c>
      <c r="J12" t="s">
        <v>63</v>
      </c>
      <c r="K12" s="16" t="s">
        <v>169</v>
      </c>
      <c r="L12" t="s">
        <v>26</v>
      </c>
      <c r="M12" t="s">
        <v>20</v>
      </c>
      <c r="N12" s="3">
        <v>46124</v>
      </c>
      <c r="O12" s="5">
        <v>46854</v>
      </c>
      <c r="P12" s="16" t="s">
        <v>154</v>
      </c>
      <c r="Q12" t="s">
        <v>157</v>
      </c>
      <c r="R12" t="s">
        <v>171</v>
      </c>
    </row>
    <row r="13" spans="1:18" x14ac:dyDescent="0.3">
      <c r="A13" t="s">
        <v>139</v>
      </c>
      <c r="B13" t="s">
        <v>186</v>
      </c>
      <c r="C13" t="s">
        <v>58</v>
      </c>
      <c r="D13" t="s">
        <v>59</v>
      </c>
      <c r="E13" s="9">
        <v>46118</v>
      </c>
      <c r="F13" s="10">
        <v>0.375</v>
      </c>
      <c r="G13" t="s">
        <v>60</v>
      </c>
      <c r="H13" t="s">
        <v>55</v>
      </c>
      <c r="I13">
        <v>50</v>
      </c>
      <c r="J13" t="s">
        <v>168</v>
      </c>
      <c r="K13" s="16" t="s">
        <v>21</v>
      </c>
      <c r="L13" t="s">
        <v>170</v>
      </c>
      <c r="M13" t="s">
        <v>20</v>
      </c>
      <c r="N13" s="3">
        <v>46113</v>
      </c>
      <c r="O13" s="5">
        <v>46477</v>
      </c>
      <c r="P13" s="16" t="s">
        <v>158</v>
      </c>
      <c r="Q13" t="s">
        <v>19</v>
      </c>
      <c r="R13" t="s">
        <v>172</v>
      </c>
    </row>
    <row r="14" spans="1:18" x14ac:dyDescent="0.3">
      <c r="A14" t="s">
        <v>140</v>
      </c>
      <c r="B14" t="s">
        <v>187</v>
      </c>
      <c r="C14" t="s">
        <v>58</v>
      </c>
      <c r="D14" t="s">
        <v>59</v>
      </c>
      <c r="E14" s="9">
        <v>46131</v>
      </c>
      <c r="F14" s="10">
        <v>0.58333333333333337</v>
      </c>
      <c r="G14" t="s">
        <v>60</v>
      </c>
      <c r="H14" t="s">
        <v>39</v>
      </c>
      <c r="I14">
        <v>100</v>
      </c>
      <c r="J14" t="s">
        <v>168</v>
      </c>
      <c r="K14" s="16" t="s">
        <v>21</v>
      </c>
      <c r="L14" t="s">
        <v>170</v>
      </c>
      <c r="M14" t="s">
        <v>20</v>
      </c>
      <c r="N14" s="3">
        <v>46126</v>
      </c>
      <c r="O14" s="5">
        <v>46490</v>
      </c>
      <c r="P14" s="16" t="s">
        <v>24</v>
      </c>
      <c r="Q14" t="s">
        <v>19</v>
      </c>
    </row>
    <row r="15" spans="1:18" x14ac:dyDescent="0.3">
      <c r="A15" t="s">
        <v>141</v>
      </c>
      <c r="B15" t="s">
        <v>188</v>
      </c>
      <c r="C15" t="s">
        <v>58</v>
      </c>
      <c r="D15" t="s">
        <v>164</v>
      </c>
      <c r="E15" s="9">
        <v>46135</v>
      </c>
      <c r="F15" s="10">
        <v>0.52083333333333337</v>
      </c>
      <c r="G15" t="s">
        <v>165</v>
      </c>
      <c r="H15" t="s">
        <v>40</v>
      </c>
      <c r="I15">
        <v>3</v>
      </c>
      <c r="J15" t="s">
        <v>63</v>
      </c>
      <c r="K15" s="16" t="s">
        <v>21</v>
      </c>
      <c r="L15" t="s">
        <v>26</v>
      </c>
      <c r="M15" t="s">
        <v>20</v>
      </c>
      <c r="N15" s="3">
        <v>45950</v>
      </c>
      <c r="O15" s="5">
        <v>46679</v>
      </c>
      <c r="P15" s="16" t="s">
        <v>24</v>
      </c>
      <c r="Q15" t="s">
        <v>164</v>
      </c>
      <c r="R15" t="s">
        <v>173</v>
      </c>
    </row>
    <row r="16" spans="1:18" x14ac:dyDescent="0.3">
      <c r="A16" t="s">
        <v>142</v>
      </c>
      <c r="B16" t="s">
        <v>192</v>
      </c>
      <c r="C16" t="s">
        <v>148</v>
      </c>
      <c r="D16" t="s">
        <v>56</v>
      </c>
      <c r="E16" s="9">
        <v>46121</v>
      </c>
      <c r="F16" s="10">
        <v>0.40625</v>
      </c>
      <c r="G16" t="s">
        <v>57</v>
      </c>
      <c r="H16" t="s">
        <v>38</v>
      </c>
      <c r="I16">
        <v>40</v>
      </c>
      <c r="J16" t="s">
        <v>152</v>
      </c>
      <c r="K16" s="16" t="s">
        <v>21</v>
      </c>
      <c r="L16" t="s">
        <v>18</v>
      </c>
      <c r="M16" t="s">
        <v>153</v>
      </c>
      <c r="N16" s="3">
        <v>46116</v>
      </c>
      <c r="O16" s="5">
        <v>47211</v>
      </c>
      <c r="P16" s="16" t="s">
        <v>158</v>
      </c>
      <c r="Q16" t="s">
        <v>19</v>
      </c>
      <c r="R16" t="s">
        <v>174</v>
      </c>
    </row>
    <row r="17" spans="1:18" x14ac:dyDescent="0.3">
      <c r="A17" t="s">
        <v>143</v>
      </c>
      <c r="B17" t="s">
        <v>191</v>
      </c>
      <c r="C17" t="s">
        <v>148</v>
      </c>
      <c r="D17" t="s">
        <v>56</v>
      </c>
      <c r="E17" s="9">
        <v>46129</v>
      </c>
      <c r="F17" s="10">
        <v>0.4375</v>
      </c>
      <c r="G17" t="s">
        <v>57</v>
      </c>
      <c r="H17" t="s">
        <v>39</v>
      </c>
      <c r="I17">
        <v>40</v>
      </c>
      <c r="J17" t="s">
        <v>152</v>
      </c>
      <c r="K17" s="16" t="s">
        <v>21</v>
      </c>
      <c r="L17" t="s">
        <v>18</v>
      </c>
      <c r="M17" t="s">
        <v>153</v>
      </c>
      <c r="N17" s="3">
        <v>46124</v>
      </c>
      <c r="O17" s="5">
        <v>47219</v>
      </c>
      <c r="P17" s="16" t="s">
        <v>24</v>
      </c>
      <c r="Q17" t="s">
        <v>19</v>
      </c>
    </row>
    <row r="18" spans="1:18" x14ac:dyDescent="0.3">
      <c r="A18" t="s">
        <v>144</v>
      </c>
      <c r="B18" t="s">
        <v>190</v>
      </c>
      <c r="C18" t="s">
        <v>148</v>
      </c>
      <c r="D18" t="s">
        <v>59</v>
      </c>
      <c r="E18" s="9">
        <v>46125</v>
      </c>
      <c r="F18" s="10">
        <v>0.35416666666666669</v>
      </c>
      <c r="G18" t="s">
        <v>163</v>
      </c>
      <c r="H18" t="s">
        <v>40</v>
      </c>
      <c r="I18">
        <v>300</v>
      </c>
      <c r="J18" t="s">
        <v>151</v>
      </c>
      <c r="K18" s="16" t="s">
        <v>21</v>
      </c>
      <c r="L18" t="s">
        <v>18</v>
      </c>
      <c r="M18" t="s">
        <v>153</v>
      </c>
      <c r="N18" s="3">
        <v>46118</v>
      </c>
      <c r="O18" s="5">
        <v>46848</v>
      </c>
      <c r="P18" s="16" t="s">
        <v>159</v>
      </c>
      <c r="Q18" t="s">
        <v>19</v>
      </c>
    </row>
    <row r="19" spans="1:18" x14ac:dyDescent="0.3">
      <c r="A19" t="s">
        <v>145</v>
      </c>
      <c r="B19" t="s">
        <v>189</v>
      </c>
      <c r="C19" t="s">
        <v>148</v>
      </c>
      <c r="D19" t="s">
        <v>164</v>
      </c>
      <c r="E19" s="9">
        <v>46137</v>
      </c>
      <c r="F19" s="10">
        <v>0.55208333333333337</v>
      </c>
      <c r="G19" t="s">
        <v>165</v>
      </c>
      <c r="H19" t="s">
        <v>55</v>
      </c>
      <c r="I19">
        <v>25</v>
      </c>
      <c r="J19" t="s">
        <v>152</v>
      </c>
      <c r="K19" s="16" t="s">
        <v>21</v>
      </c>
      <c r="L19" t="s">
        <v>307</v>
      </c>
      <c r="M19" t="s">
        <v>153</v>
      </c>
      <c r="N19" s="3">
        <v>45948</v>
      </c>
      <c r="O19" s="5">
        <v>47043</v>
      </c>
      <c r="P19" s="16" t="s">
        <v>24</v>
      </c>
      <c r="Q19" t="s">
        <v>164</v>
      </c>
      <c r="R19" t="s">
        <v>193</v>
      </c>
    </row>
    <row r="20" spans="1:18" x14ac:dyDescent="0.3">
      <c r="E20" s="9"/>
      <c r="F20" s="10"/>
      <c r="K20" s="16"/>
      <c r="O20" s="5"/>
      <c r="P20" s="16"/>
    </row>
  </sheetData>
  <phoneticPr fontId="2" type="noConversion"/>
  <conditionalFormatting sqref="K1:K1048576 L4:L19">
    <cfRule type="cellIs" dxfId="24" priority="6" operator="equal">
      <formula>"Temp Excursion"</formula>
    </cfRule>
    <cfRule type="cellIs" dxfId="23" priority="7" operator="equal">
      <formula>"Leaking"</formula>
    </cfRule>
    <cfRule type="cellIs" dxfId="22" priority="8" operator="equal">
      <formula>"Contaminated"</formula>
    </cfRule>
    <cfRule type="cellIs" dxfId="21" priority="9" operator="equal">
      <formula>"Damaged"</formula>
    </cfRule>
    <cfRule type="cellIs" dxfId="20" priority="10" operator="equal">
      <formula>"Acceptable"</formula>
    </cfRule>
  </conditionalFormatting>
  <conditionalFormatting sqref="M1:M1048576">
    <cfRule type="cellIs" dxfId="19" priority="1" operator="equal">
      <formula>"Flammable"</formula>
    </cfRule>
    <cfRule type="cellIs" dxfId="18" priority="2" operator="equal">
      <formula>"Controlled"</formula>
    </cfRule>
    <cfRule type="cellIs" dxfId="17" priority="3" operator="equal">
      <formula>"Cytotoxic"</formula>
    </cfRule>
    <cfRule type="cellIs" dxfId="16" priority="4" operator="equal">
      <formula>"Biohazard"</formula>
    </cfRule>
    <cfRule type="cellIs" dxfId="15" priority="5" operator="equal">
      <formula>"""None"""</formula>
    </cfRule>
  </conditionalFormatting>
  <conditionalFormatting sqref="P1:P1048576">
    <cfRule type="cellIs" dxfId="14" priority="11" operator="equal">
      <formula>"Released"</formula>
    </cfRule>
    <cfRule type="cellIs" dxfId="13" priority="12" operator="equal">
      <formula>"Rejected"</formula>
    </cfRule>
    <cfRule type="cellIs" dxfId="12" priority="13" operator="equal">
      <formula>"Approved"</formula>
    </cfRule>
    <cfRule type="cellIs" dxfId="11" priority="14" operator="equal">
      <formula>"On Hold"</formula>
    </cfRule>
    <cfRule type="cellIs" dxfId="10" priority="15" operator="equal">
      <formula>"In Testing"</formula>
    </cfRule>
    <cfRule type="cellIs" dxfId="9" priority="16" operator="equal">
      <formula>"Received"</formula>
    </cfRule>
  </conditionalFormatting>
  <dataValidations count="15">
    <dataValidation type="list" allowBlank="1" showInputMessage="1" showErrorMessage="1" sqref="G21:G33" xr:uid="{692EE0AF-D616-4C82-9FEB-5E1918DC7312}">
      <formula1>"Production, Warehouse, External"</formula1>
    </dataValidation>
    <dataValidation type="list" allowBlank="1" showInputMessage="1" showErrorMessage="1" sqref="M2:M33" xr:uid="{9695BB14-C29B-4649-9C52-72A8C10777A3}">
      <formula1>"None, Biohazard, Cytotoxic, Controlled, Flammable"</formula1>
    </dataValidation>
    <dataValidation type="list" allowBlank="1" showInputMessage="1" showErrorMessage="1" sqref="K2:K33" xr:uid="{5E6EBD0D-A657-4A91-8F74-A0D73A98210E}">
      <formula1>"Acceptable, Damaged, Contaminated, Leaking, Temp Excursion"</formula1>
    </dataValidation>
    <dataValidation type="list" allowBlank="1" showInputMessage="1" showErrorMessage="1" sqref="P1:P1048576" xr:uid="{DA81EEE6-550B-4614-AA5A-6165D9CD9B78}">
      <formula1>"Received, In Testing, On Hold, Approved, Rejected, Released"</formula1>
    </dataValidation>
    <dataValidation type="list" allowBlank="1" showInputMessage="1" showErrorMessage="1" sqref="H1:H1048576" xr:uid="{BB6C58EE-2A8D-4134-AA53-3C8721254F65}">
      <formula1>AnalystList</formula1>
    </dataValidation>
    <dataValidation type="list" allowBlank="1" showInputMessage="1" showErrorMessage="1" sqref="D1:D1048576" xr:uid="{7BEE4DF0-CBB3-4E52-84B7-4146EBCDB07F}">
      <formula1>"Raw Material, In-Process, Finished Product, Stability, Environmental Monitoring"</formula1>
    </dataValidation>
    <dataValidation type="list" allowBlank="1" showInputMessage="1" showErrorMessage="1" sqref="G2" xr:uid="{63B5DAE9-0C93-4404-B2C4-B2A4235FC948}">
      <formula1>"Production, Warehouse, External, Stabilty Chamber, Inline Sampling"</formula1>
    </dataValidation>
    <dataValidation type="list" allowBlank="1" showInputMessage="1" showErrorMessage="1" sqref="L1 L20:L1048576" xr:uid="{D6BF54AB-BB3C-438A-8929-C8FF136FD086}">
      <formula1>"2–8°C, 15–25°C, −20°C, -80°C, Controlled RH, Ambient"</formula1>
    </dataValidation>
    <dataValidation type="list" allowBlank="1" showInputMessage="1" showErrorMessage="1" sqref="Q1:Q1048576" xr:uid="{79D198C6-BD17-4BE3-A5D0-1101265F6423}">
      <formula1>"Standard, Urgent, Stability"</formula1>
    </dataValidation>
    <dataValidation type="list" allowBlank="1" showInputMessage="1" showErrorMessage="1" sqref="J1 J22:J1048576" xr:uid="{DC933D3D-621C-4D39-A8D1-4FF5AC43FFDC}">
      <formula1>"g, mg, ml, L, Vials, Kg"</formula1>
    </dataValidation>
    <dataValidation type="list" allowBlank="1" showInputMessage="1" showErrorMessage="1" sqref="G3:G20" xr:uid="{FACA270C-35B7-4279-9E7F-76CBDFE8B6D6}">
      <formula1>"Production, Warehouse, External, Stability Chamber, Inline Sampling"</formula1>
    </dataValidation>
    <dataValidation type="list" allowBlank="1" showInputMessage="1" showErrorMessage="1" sqref="J2:J21" xr:uid="{73927E05-FD5D-4C74-8AC9-EED0F713893E}">
      <formula1>"g, mg, ml, L, Vials, Kg, Tablets"</formula1>
    </dataValidation>
    <dataValidation type="list" allowBlank="1" showInputMessage="1" showErrorMessage="1" sqref="C1:C1048576" xr:uid="{009DE5B6-AD37-441D-9D31-A5D8668654FA}">
      <formula1>"Paracetamol, Ozempic, Ibuprofen"</formula1>
    </dataValidation>
    <dataValidation type="list" allowBlank="1" showInputMessage="1" showErrorMessage="1" sqref="L2:L18" xr:uid="{10F37895-9966-4E15-902E-2E500A3F55A8}">
      <formula1>"2–8°C, 15–25°C, −20°C, -80°C, 25-30°C / 60% RH, 40°C / 75% RH, 30°C / 65% "</formula1>
    </dataValidation>
    <dataValidation type="list" allowBlank="1" showInputMessage="1" showErrorMessage="1" sqref="L19" xr:uid="{C3DBFD2C-3B26-47B9-A458-BA550C7F9244}">
      <formula1>"2–8°C, 15–25°C, −20°C, -80°C, 25-30°C / 60% RH, 40°C / 75% RH, 30°C / 65% RH"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998F-918E-498B-91A3-ADFCA38ED697}">
  <dimension ref="A1:F8"/>
  <sheetViews>
    <sheetView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11.21875" customWidth="1"/>
    <col min="2" max="2" width="17.44140625" bestFit="1" customWidth="1"/>
    <col min="3" max="3" width="13.5546875" customWidth="1"/>
    <col min="4" max="4" width="19.88671875" bestFit="1" customWidth="1"/>
    <col min="5" max="5" width="9.88671875" bestFit="1" customWidth="1"/>
    <col min="6" max="6" width="8.21875" customWidth="1"/>
  </cols>
  <sheetData>
    <row r="1" spans="1:6" s="1" customFormat="1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62</v>
      </c>
      <c r="F1" s="1" t="s">
        <v>68</v>
      </c>
    </row>
    <row r="2" spans="1:6" x14ac:dyDescent="0.3">
      <c r="A2" t="s">
        <v>52</v>
      </c>
      <c r="B2" t="s">
        <v>69</v>
      </c>
      <c r="C2" t="s">
        <v>70</v>
      </c>
      <c r="D2" t="s">
        <v>71</v>
      </c>
      <c r="E2" t="s">
        <v>72</v>
      </c>
      <c r="F2" t="s">
        <v>32</v>
      </c>
    </row>
    <row r="3" spans="1:6" x14ac:dyDescent="0.3">
      <c r="A3" t="s">
        <v>74</v>
      </c>
      <c r="B3" t="s">
        <v>80</v>
      </c>
      <c r="C3" t="s">
        <v>81</v>
      </c>
      <c r="D3" t="s">
        <v>82</v>
      </c>
      <c r="E3" t="s">
        <v>83</v>
      </c>
      <c r="F3" t="s">
        <v>32</v>
      </c>
    </row>
    <row r="4" spans="1:6" x14ac:dyDescent="0.3">
      <c r="A4" t="s">
        <v>75</v>
      </c>
      <c r="B4" t="s">
        <v>84</v>
      </c>
      <c r="C4" t="s">
        <v>85</v>
      </c>
      <c r="D4" t="s">
        <v>86</v>
      </c>
      <c r="E4" t="s">
        <v>87</v>
      </c>
      <c r="F4" t="s">
        <v>32</v>
      </c>
    </row>
    <row r="5" spans="1:6" x14ac:dyDescent="0.3">
      <c r="A5" t="s">
        <v>76</v>
      </c>
      <c r="B5" t="s">
        <v>88</v>
      </c>
      <c r="C5" t="s">
        <v>89</v>
      </c>
      <c r="D5" t="s">
        <v>90</v>
      </c>
      <c r="E5" t="s">
        <v>91</v>
      </c>
      <c r="F5" t="s">
        <v>32</v>
      </c>
    </row>
    <row r="6" spans="1:6" x14ac:dyDescent="0.3">
      <c r="A6" t="s">
        <v>77</v>
      </c>
      <c r="B6" t="s">
        <v>92</v>
      </c>
      <c r="C6" t="s">
        <v>93</v>
      </c>
      <c r="D6" t="s">
        <v>94</v>
      </c>
      <c r="E6" t="s">
        <v>83</v>
      </c>
      <c r="F6" t="s">
        <v>32</v>
      </c>
    </row>
    <row r="7" spans="1:6" x14ac:dyDescent="0.3">
      <c r="A7" t="s">
        <v>78</v>
      </c>
      <c r="B7" t="s">
        <v>95</v>
      </c>
      <c r="C7" t="s">
        <v>96</v>
      </c>
      <c r="D7" t="s">
        <v>97</v>
      </c>
      <c r="E7" t="s">
        <v>98</v>
      </c>
      <c r="F7" t="s">
        <v>32</v>
      </c>
    </row>
    <row r="8" spans="1:6" x14ac:dyDescent="0.3">
      <c r="A8" t="s">
        <v>79</v>
      </c>
      <c r="B8" t="s">
        <v>99</v>
      </c>
      <c r="C8" t="s">
        <v>100</v>
      </c>
      <c r="D8" t="s">
        <v>101</v>
      </c>
      <c r="E8" t="s">
        <v>83</v>
      </c>
      <c r="F8" t="s">
        <v>73</v>
      </c>
    </row>
  </sheetData>
  <phoneticPr fontId="2" type="noConversion"/>
  <dataValidations count="1">
    <dataValidation type="list" allowBlank="1" showInputMessage="1" showErrorMessage="1" sqref="F2:F9" xr:uid="{39A37E3A-960E-4986-B1B1-6EC0BBD21852}">
      <formula1>"Active, Retired"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DD34-F007-40FA-84F3-598809609666}">
  <dimension ref="A1:J12"/>
  <sheetViews>
    <sheetView topLeftCell="D1" workbookViewId="0">
      <pane ySplit="1" topLeftCell="A2" activePane="bottomLeft" state="frozen"/>
      <selection activeCell="C1" sqref="C1"/>
      <selection pane="bottomLeft" activeCell="J12" sqref="J12"/>
    </sheetView>
  </sheetViews>
  <sheetFormatPr defaultRowHeight="14.4" x14ac:dyDescent="0.3"/>
  <cols>
    <col min="1" max="1" width="9.109375" customWidth="1"/>
    <col min="2" max="2" width="14.44140625" customWidth="1"/>
    <col min="3" max="3" width="11.109375" customWidth="1"/>
    <col min="4" max="4" width="17.44140625" bestFit="1" customWidth="1"/>
    <col min="5" max="5" width="12.44140625" customWidth="1"/>
    <col min="6" max="6" width="12.6640625" customWidth="1"/>
    <col min="7" max="7" width="9.88671875" bestFit="1" customWidth="1"/>
    <col min="8" max="8" width="13" customWidth="1"/>
    <col min="9" max="9" width="14.33203125" customWidth="1"/>
    <col min="10" max="10" width="10.5546875" bestFit="1" customWidth="1"/>
  </cols>
  <sheetData>
    <row r="1" spans="1:10" s="1" customFormat="1" x14ac:dyDescent="0.3">
      <c r="A1" s="1" t="s">
        <v>102</v>
      </c>
      <c r="B1" s="1" t="s">
        <v>2</v>
      </c>
      <c r="C1" s="1" t="s">
        <v>103</v>
      </c>
      <c r="D1" s="1" t="s">
        <v>65</v>
      </c>
      <c r="E1" s="1" t="s">
        <v>104</v>
      </c>
      <c r="F1" s="1" t="s">
        <v>105</v>
      </c>
      <c r="G1" s="1" t="s">
        <v>62</v>
      </c>
      <c r="H1" s="1" t="s">
        <v>106</v>
      </c>
      <c r="I1" s="1" t="s">
        <v>107</v>
      </c>
      <c r="J1" s="1" t="s">
        <v>68</v>
      </c>
    </row>
    <row r="2" spans="1:10" x14ac:dyDescent="0.3">
      <c r="A2" t="s">
        <v>108</v>
      </c>
      <c r="B2" t="s">
        <v>61</v>
      </c>
      <c r="C2" t="s">
        <v>52</v>
      </c>
      <c r="D2" t="s">
        <v>69</v>
      </c>
      <c r="E2">
        <v>5.5</v>
      </c>
      <c r="F2">
        <v>6.5</v>
      </c>
      <c r="G2" t="s">
        <v>115</v>
      </c>
      <c r="H2" t="s">
        <v>116</v>
      </c>
      <c r="I2" s="9">
        <v>45658</v>
      </c>
      <c r="J2" t="s">
        <v>32</v>
      </c>
    </row>
    <row r="3" spans="1:10" x14ac:dyDescent="0.3">
      <c r="A3" t="s">
        <v>109</v>
      </c>
      <c r="B3" t="s">
        <v>61</v>
      </c>
      <c r="C3" t="s">
        <v>74</v>
      </c>
      <c r="D3" t="s">
        <v>80</v>
      </c>
      <c r="E3">
        <v>95</v>
      </c>
      <c r="F3">
        <v>105</v>
      </c>
      <c r="G3" t="s">
        <v>83</v>
      </c>
      <c r="H3" t="s">
        <v>117</v>
      </c>
      <c r="I3" s="9">
        <v>45658</v>
      </c>
      <c r="J3" t="s">
        <v>32</v>
      </c>
    </row>
    <row r="4" spans="1:10" x14ac:dyDescent="0.3">
      <c r="A4" t="s">
        <v>110</v>
      </c>
      <c r="B4" t="s">
        <v>61</v>
      </c>
      <c r="C4" t="s">
        <v>76</v>
      </c>
      <c r="D4" t="s">
        <v>88</v>
      </c>
      <c r="E4">
        <v>80</v>
      </c>
      <c r="F4">
        <v>100</v>
      </c>
      <c r="G4" t="s">
        <v>91</v>
      </c>
      <c r="H4" t="s">
        <v>118</v>
      </c>
      <c r="I4" s="9">
        <v>45658</v>
      </c>
      <c r="J4" t="s">
        <v>32</v>
      </c>
    </row>
    <row r="5" spans="1:10" x14ac:dyDescent="0.3">
      <c r="A5" t="s">
        <v>111</v>
      </c>
      <c r="B5" t="s">
        <v>61</v>
      </c>
      <c r="C5" t="s">
        <v>79</v>
      </c>
      <c r="D5" t="s">
        <v>99</v>
      </c>
      <c r="E5">
        <v>0</v>
      </c>
      <c r="F5">
        <v>0.5</v>
      </c>
      <c r="G5" t="s">
        <v>83</v>
      </c>
      <c r="H5" t="s">
        <v>119</v>
      </c>
      <c r="I5" s="9">
        <v>45658</v>
      </c>
      <c r="J5" t="s">
        <v>121</v>
      </c>
    </row>
    <row r="6" spans="1:10" x14ac:dyDescent="0.3">
      <c r="A6" t="s">
        <v>112</v>
      </c>
      <c r="B6" t="s">
        <v>58</v>
      </c>
      <c r="C6" t="s">
        <v>52</v>
      </c>
      <c r="D6" t="s">
        <v>69</v>
      </c>
      <c r="E6">
        <v>6.5</v>
      </c>
      <c r="F6">
        <v>8</v>
      </c>
      <c r="G6" t="s">
        <v>115</v>
      </c>
      <c r="H6" t="s">
        <v>116</v>
      </c>
      <c r="I6" s="9">
        <v>45717</v>
      </c>
      <c r="J6" t="s">
        <v>32</v>
      </c>
    </row>
    <row r="7" spans="1:10" x14ac:dyDescent="0.3">
      <c r="A7" t="s">
        <v>113</v>
      </c>
      <c r="B7" t="s">
        <v>58</v>
      </c>
      <c r="C7" t="s">
        <v>74</v>
      </c>
      <c r="D7" t="s">
        <v>80</v>
      </c>
      <c r="E7">
        <v>98</v>
      </c>
      <c r="F7">
        <v>102</v>
      </c>
      <c r="G7" t="s">
        <v>83</v>
      </c>
      <c r="H7" t="s">
        <v>117</v>
      </c>
      <c r="I7" s="9">
        <v>45717</v>
      </c>
      <c r="J7" t="s">
        <v>32</v>
      </c>
    </row>
    <row r="8" spans="1:10" x14ac:dyDescent="0.3">
      <c r="A8" t="s">
        <v>114</v>
      </c>
      <c r="B8" t="s">
        <v>58</v>
      </c>
      <c r="C8" t="s">
        <v>78</v>
      </c>
      <c r="D8" t="s">
        <v>95</v>
      </c>
      <c r="E8">
        <v>0</v>
      </c>
      <c r="F8">
        <v>100</v>
      </c>
      <c r="G8" t="s">
        <v>98</v>
      </c>
      <c r="H8" t="s">
        <v>120</v>
      </c>
      <c r="I8" s="9">
        <v>45717</v>
      </c>
      <c r="J8" t="s">
        <v>32</v>
      </c>
    </row>
    <row r="9" spans="1:10" x14ac:dyDescent="0.3">
      <c r="A9" t="s">
        <v>146</v>
      </c>
      <c r="B9" t="s">
        <v>148</v>
      </c>
      <c r="C9" t="s">
        <v>74</v>
      </c>
      <c r="D9" t="s">
        <v>80</v>
      </c>
      <c r="E9">
        <v>90</v>
      </c>
      <c r="F9">
        <v>110</v>
      </c>
      <c r="G9" t="s">
        <v>83</v>
      </c>
      <c r="H9" t="s">
        <v>117</v>
      </c>
      <c r="I9" s="9">
        <v>45689</v>
      </c>
      <c r="J9" t="s">
        <v>32</v>
      </c>
    </row>
    <row r="10" spans="1:10" x14ac:dyDescent="0.3">
      <c r="A10" t="s">
        <v>147</v>
      </c>
      <c r="B10" t="s">
        <v>148</v>
      </c>
      <c r="C10" t="s">
        <v>76</v>
      </c>
      <c r="D10" t="s">
        <v>88</v>
      </c>
      <c r="E10">
        <v>80</v>
      </c>
      <c r="F10">
        <v>100</v>
      </c>
      <c r="G10" t="s">
        <v>91</v>
      </c>
      <c r="H10" t="s">
        <v>118</v>
      </c>
      <c r="I10" s="9">
        <v>45689</v>
      </c>
      <c r="J10" t="s">
        <v>32</v>
      </c>
    </row>
    <row r="11" spans="1:10" x14ac:dyDescent="0.3">
      <c r="A11" t="s">
        <v>149</v>
      </c>
      <c r="B11" t="s">
        <v>148</v>
      </c>
      <c r="C11" t="s">
        <v>77</v>
      </c>
      <c r="D11" t="s">
        <v>92</v>
      </c>
      <c r="E11">
        <v>0</v>
      </c>
      <c r="F11">
        <v>5</v>
      </c>
      <c r="G11" t="s">
        <v>83</v>
      </c>
      <c r="H11" t="s">
        <v>150</v>
      </c>
      <c r="I11" s="9">
        <v>45689</v>
      </c>
      <c r="J11" t="s">
        <v>32</v>
      </c>
    </row>
    <row r="12" spans="1:10" x14ac:dyDescent="0.3">
      <c r="I12" s="9"/>
    </row>
  </sheetData>
  <phoneticPr fontId="2" type="noConversion"/>
  <dataValidations count="4">
    <dataValidation type="list" allowBlank="1" showInputMessage="1" showErrorMessage="1" sqref="C1:C1048576" xr:uid="{75D94399-3BB0-4D5C-BF4F-06F8B92434FB}">
      <formula1>MethodIDList</formula1>
    </dataValidation>
    <dataValidation type="list" allowBlank="1" showInputMessage="1" showErrorMessage="1" sqref="D1:D1048576" xr:uid="{ACB7836F-BF62-439C-8A2B-3C9B4FEA07A4}">
      <formula1>MethodList</formula1>
    </dataValidation>
    <dataValidation type="list" allowBlank="1" showInputMessage="1" showErrorMessage="1" sqref="G2:G12" xr:uid="{2BB93EA9-034B-4814-84D6-C6F018BF0D65}">
      <formula1>"pH Units, % w/w, % released, CFU/g"</formula1>
    </dataValidation>
    <dataValidation type="list" allowBlank="1" showInputMessage="1" showErrorMessage="1" sqref="J2:J12" xr:uid="{E80DEA5E-5374-4131-B608-157E603F9305}">
      <formula1>"Active, Superseded"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194C-3366-4A9E-AAFF-878B4EAD2FE9}">
  <dimension ref="A1:N34"/>
  <sheetViews>
    <sheetView zoomScale="72" zoomScaleNormal="68" workbookViewId="0">
      <pane xSplit="1" topLeftCell="I1" activePane="topRight" state="frozen"/>
      <selection pane="topRight" activeCell="L20" sqref="L20"/>
    </sheetView>
  </sheetViews>
  <sheetFormatPr defaultRowHeight="14.4" x14ac:dyDescent="0.3"/>
  <cols>
    <col min="1" max="1" width="14.77734375" style="6" bestFit="1" customWidth="1"/>
    <col min="2" max="2" width="16" style="6" bestFit="1" customWidth="1"/>
    <col min="3" max="3" width="19.33203125" style="6" bestFit="1" customWidth="1"/>
    <col min="4" max="4" width="15.77734375" style="6" bestFit="1" customWidth="1"/>
    <col min="5" max="5" width="18.88671875" style="6" bestFit="1" customWidth="1"/>
    <col min="6" max="6" width="15" style="6" bestFit="1" customWidth="1"/>
    <col min="7" max="7" width="15.109375" style="6" bestFit="1" customWidth="1"/>
    <col min="8" max="8" width="13.33203125" style="6" bestFit="1" customWidth="1"/>
    <col min="9" max="9" width="21" style="6" bestFit="1" customWidth="1"/>
    <col min="10" max="10" width="10.6640625" style="6" bestFit="1" customWidth="1"/>
    <col min="11" max="11" width="16.88671875" style="6" bestFit="1" customWidth="1"/>
    <col min="12" max="12" width="17.109375" style="6" bestFit="1" customWidth="1"/>
    <col min="13" max="13" width="15.109375" style="6" bestFit="1" customWidth="1"/>
    <col min="14" max="14" width="23.21875" style="6" bestFit="1" customWidth="1"/>
    <col min="15" max="16384" width="8.88671875" style="6"/>
  </cols>
  <sheetData>
    <row r="1" spans="1:14" x14ac:dyDescent="0.3">
      <c r="A1" s="8" t="s">
        <v>122</v>
      </c>
      <c r="B1" s="8" t="s">
        <v>123</v>
      </c>
      <c r="C1" s="8" t="s">
        <v>2</v>
      </c>
      <c r="D1" s="8" t="s">
        <v>64</v>
      </c>
      <c r="E1" s="8" t="s">
        <v>65</v>
      </c>
      <c r="F1" s="8" t="s">
        <v>124</v>
      </c>
      <c r="G1" s="8" t="s">
        <v>125</v>
      </c>
      <c r="H1" s="8" t="s">
        <v>126</v>
      </c>
      <c r="I1" s="8" t="s">
        <v>127</v>
      </c>
      <c r="J1" s="8" t="s">
        <v>62</v>
      </c>
      <c r="K1" s="8" t="s">
        <v>104</v>
      </c>
      <c r="L1" s="8" t="s">
        <v>105</v>
      </c>
      <c r="M1" s="8" t="s">
        <v>128</v>
      </c>
      <c r="N1" s="8" t="s">
        <v>15</v>
      </c>
    </row>
    <row r="2" spans="1:14" x14ac:dyDescent="0.3">
      <c r="A2" s="6" t="s">
        <v>129</v>
      </c>
      <c r="B2" s="6" t="s">
        <v>130</v>
      </c>
      <c r="C2" s="16" t="str">
        <f>IF(tblResults[[#This Row],[Sample ID]]="", "", _xlfn.XLOOKUP(tblResults[[#This Row],[Sample ID]], Samples!A:A, Samples!C:C, ""))</f>
        <v>Paracetamol</v>
      </c>
      <c r="D2" s="16" t="s">
        <v>74</v>
      </c>
      <c r="E2" s="16" t="str">
        <f>IF(tblResults[[#This Row],[Method ID]]="", "", _xlfn.XLOOKUP(tblResults[[#This Row],[Method ID]], 'Test Methods'!A:A, 'Test Methods'!B:B, ""))</f>
        <v>HPLC Assay</v>
      </c>
      <c r="F2" s="9">
        <v>46149</v>
      </c>
      <c r="G2" s="10">
        <v>0.46927083333333336</v>
      </c>
      <c r="H2" s="16" t="s">
        <v>39</v>
      </c>
      <c r="I2" s="19">
        <v>95</v>
      </c>
      <c r="J2" s="6" t="str" cm="1">
        <f t="array" ref="J2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" s="19" cm="1">
        <f t="array" ref="K2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95</v>
      </c>
      <c r="L2" s="19" cm="1">
        <f t="array" ref="L2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105</v>
      </c>
      <c r="M2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" s="16"/>
    </row>
    <row r="3" spans="1:14" x14ac:dyDescent="0.3">
      <c r="A3" s="6" t="s">
        <v>196</v>
      </c>
      <c r="B3" s="6" t="s">
        <v>132</v>
      </c>
      <c r="C3" s="16" t="str">
        <f>IF(tblResults[[#This Row],[Sample ID]]="", "", _xlfn.XLOOKUP(tblResults[[#This Row],[Sample ID]], Samples!A:A, Samples!C:C, ""))</f>
        <v>Paracetamol</v>
      </c>
      <c r="D3" s="16" t="s">
        <v>52</v>
      </c>
      <c r="E3" s="16" t="str">
        <f>IF(tblResults[[#This Row],[Method ID]]="", "", _xlfn.XLOOKUP(tblResults[[#This Row],[Method ID]], 'Test Methods'!A:A, 'Test Methods'!B:B, ""))</f>
        <v>pH Test</v>
      </c>
      <c r="F3" s="9">
        <v>46145</v>
      </c>
      <c r="G3" s="10">
        <v>0.55011574074074077</v>
      </c>
      <c r="H3" s="16" t="s">
        <v>38</v>
      </c>
      <c r="I3" s="19">
        <v>6.2</v>
      </c>
      <c r="J3" s="6" t="str" cm="1">
        <f t="array" ref="J3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3" s="19" cm="1">
        <f t="array" ref="K3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5.5</v>
      </c>
      <c r="L3" s="19" cm="1">
        <f t="array" ref="L3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6.5</v>
      </c>
      <c r="M3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3" s="16"/>
    </row>
    <row r="4" spans="1:14" x14ac:dyDescent="0.3">
      <c r="A4" s="6" t="s">
        <v>197</v>
      </c>
      <c r="B4" s="6" t="s">
        <v>137</v>
      </c>
      <c r="C4" s="16" t="str">
        <f>IF(tblResults[[#This Row],[Sample ID]]="", "", _xlfn.XLOOKUP(tblResults[[#This Row],[Sample ID]], Samples!A:A, Samples!C:C, ""))</f>
        <v>Ozempic</v>
      </c>
      <c r="D4" s="16" t="s">
        <v>78</v>
      </c>
      <c r="E4" s="16" t="str">
        <f>IF(tblResults[[#This Row],[Method ID]]="", "", _xlfn.XLOOKUP(tblResults[[#This Row],[Method ID]], 'Test Methods'!A:A, 'Test Methods'!B:B, ""))</f>
        <v>Microbial Count</v>
      </c>
      <c r="F4" s="9">
        <v>46141</v>
      </c>
      <c r="G4" s="10">
        <v>0.66017361111111106</v>
      </c>
      <c r="H4" s="16" t="s">
        <v>55</v>
      </c>
      <c r="I4" s="19">
        <v>10</v>
      </c>
      <c r="J4" s="6" t="str" cm="1">
        <f t="array" ref="J4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CFU/g</v>
      </c>
      <c r="K4" s="19" cm="1">
        <f t="array" ref="K4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0</v>
      </c>
      <c r="L4" s="19" cm="1">
        <f t="array" ref="L4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4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4" s="16"/>
    </row>
    <row r="5" spans="1:14" x14ac:dyDescent="0.3">
      <c r="A5" s="6" t="s">
        <v>198</v>
      </c>
      <c r="B5" s="6" t="s">
        <v>131</v>
      </c>
      <c r="C5" s="16" t="str">
        <f>IF(tblResults[[#This Row],[Sample ID]]="", "", _xlfn.XLOOKUP(tblResults[[#This Row],[Sample ID]], Samples!A:A, Samples!C:C, ""))</f>
        <v>Paracetamol</v>
      </c>
      <c r="D5" s="16" t="s">
        <v>74</v>
      </c>
      <c r="E5" s="16" t="str">
        <f>IF(tblResults[[#This Row],[Method ID]]="", "", _xlfn.XLOOKUP(tblResults[[#This Row],[Method ID]], 'Test Methods'!A:A, 'Test Methods'!B:B, ""))</f>
        <v>HPLC Assay</v>
      </c>
      <c r="F5" s="9">
        <v>46149</v>
      </c>
      <c r="G5" s="10">
        <v>0.34998842592592594</v>
      </c>
      <c r="H5" s="16" t="s">
        <v>39</v>
      </c>
      <c r="I5" s="19">
        <v>96.8</v>
      </c>
      <c r="J5" s="6" t="str" cm="1">
        <f t="array" ref="J5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5" s="19" cm="1">
        <f t="array" ref="K5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95</v>
      </c>
      <c r="L5" s="19" cm="1">
        <f t="array" ref="L5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105</v>
      </c>
      <c r="M5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5" s="16"/>
    </row>
    <row r="6" spans="1:14" x14ac:dyDescent="0.3">
      <c r="A6" s="6" t="s">
        <v>199</v>
      </c>
      <c r="B6" s="6" t="s">
        <v>130</v>
      </c>
      <c r="C6" s="16" t="str">
        <f>IF(tblResults[[#This Row],[Sample ID]]="", "", _xlfn.XLOOKUP(tblResults[[#This Row],[Sample ID]], Samples!A:A, Samples!C:C, ""))</f>
        <v>Paracetamol</v>
      </c>
      <c r="D6" s="16" t="s">
        <v>52</v>
      </c>
      <c r="E6" s="16" t="str">
        <f>IF(tblResults[[#This Row],[Method ID]]="", "", _xlfn.XLOOKUP(tblResults[[#This Row],[Method ID]], 'Test Methods'!A:A, 'Test Methods'!B:B, ""))</f>
        <v>pH Test</v>
      </c>
      <c r="F6" s="9">
        <v>46115</v>
      </c>
      <c r="G6" s="10">
        <v>0.39583333333333331</v>
      </c>
      <c r="H6" s="16" t="s">
        <v>39</v>
      </c>
      <c r="I6" s="19">
        <v>6.1</v>
      </c>
      <c r="J6" s="6" t="str" cm="1">
        <f t="array" ref="J6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6" s="19" cm="1">
        <f t="array" ref="K6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5.5</v>
      </c>
      <c r="L6" s="19" cm="1">
        <f t="array" ref="L6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6.5</v>
      </c>
      <c r="M6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6" s="16"/>
    </row>
    <row r="7" spans="1:14" x14ac:dyDescent="0.3">
      <c r="A7" s="6" t="s">
        <v>256</v>
      </c>
      <c r="B7" s="6" t="s">
        <v>130</v>
      </c>
      <c r="C7" s="16" t="str">
        <f>IF(tblResults[[#This Row],[Sample ID]]="", "", _xlfn.XLOOKUP(tblResults[[#This Row],[Sample ID]], Samples!A:A, Samples!C:C, ""))</f>
        <v>Paracetamol</v>
      </c>
      <c r="D7" s="16" t="s">
        <v>74</v>
      </c>
      <c r="E7" s="16" t="str">
        <f>IF(tblResults[[#This Row],[Method ID]]="", "", _xlfn.XLOOKUP(tblResults[[#This Row],[Method ID]], 'Test Methods'!A:A, 'Test Methods'!B:B, ""))</f>
        <v>HPLC Assay</v>
      </c>
      <c r="F7" s="9">
        <v>46115</v>
      </c>
      <c r="G7" s="10">
        <v>0.46875</v>
      </c>
      <c r="H7" s="16" t="s">
        <v>39</v>
      </c>
      <c r="I7" s="19">
        <v>99.7</v>
      </c>
      <c r="J7" s="6" t="str" cm="1">
        <f t="array" ref="J7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7" s="19" cm="1">
        <f t="array" ref="K7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95</v>
      </c>
      <c r="L7" s="19" cm="1">
        <f t="array" ref="L7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105</v>
      </c>
      <c r="M7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7" s="16"/>
    </row>
    <row r="8" spans="1:14" x14ac:dyDescent="0.3">
      <c r="A8" s="6" t="s">
        <v>262</v>
      </c>
      <c r="B8" s="6" t="s">
        <v>130</v>
      </c>
      <c r="C8" s="16" t="str">
        <f>IF(tblResults[[#This Row],[Sample ID]]="", "", _xlfn.XLOOKUP(tblResults[[#This Row],[Sample ID]], Samples!A:A, Samples!C:C, ""))</f>
        <v>Paracetamol</v>
      </c>
      <c r="D8" s="16" t="s">
        <v>76</v>
      </c>
      <c r="E8" s="16" t="str">
        <f>IF(tblResults[[#This Row],[Method ID]]="", "", _xlfn.XLOOKUP(tblResults[[#This Row],[Method ID]], 'Test Methods'!A:A, 'Test Methods'!B:B, ""))</f>
        <v>Dissolution</v>
      </c>
      <c r="F8" s="9">
        <v>46115</v>
      </c>
      <c r="G8" s="10">
        <v>0.58333333333333337</v>
      </c>
      <c r="H8" s="16" t="s">
        <v>40</v>
      </c>
      <c r="I8" s="19">
        <v>92</v>
      </c>
      <c r="J8" s="6" t="str" cm="1">
        <f t="array" ref="J8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released</v>
      </c>
      <c r="K8" s="19" cm="1">
        <f t="array" ref="K8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80</v>
      </c>
      <c r="L8" s="19" cm="1">
        <f t="array" ref="L8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8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8" s="16"/>
    </row>
    <row r="9" spans="1:14" x14ac:dyDescent="0.3">
      <c r="A9" s="6" t="s">
        <v>263</v>
      </c>
      <c r="B9" s="6" t="s">
        <v>131</v>
      </c>
      <c r="C9" s="16" t="str">
        <f>IF(tblResults[[#This Row],[Sample ID]]="", "", _xlfn.XLOOKUP(tblResults[[#This Row],[Sample ID]], Samples!A:A, Samples!C:C, ""))</f>
        <v>Paracetamol</v>
      </c>
      <c r="D9" s="16" t="s">
        <v>52</v>
      </c>
      <c r="E9" s="16" t="str">
        <f>IF(tblResults[[#This Row],[Method ID]]="", "", _xlfn.XLOOKUP(tblResults[[#This Row],[Method ID]], 'Test Methods'!A:A, 'Test Methods'!B:B, ""))</f>
        <v>pH Test</v>
      </c>
      <c r="F9" s="9">
        <v>46121</v>
      </c>
      <c r="G9" s="10">
        <v>0.40625</v>
      </c>
      <c r="H9" s="16" t="s">
        <v>38</v>
      </c>
      <c r="I9" s="19">
        <v>6</v>
      </c>
      <c r="J9" s="6" t="str" cm="1">
        <f t="array" ref="J9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9" s="19" cm="1">
        <f t="array" ref="K9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5.5</v>
      </c>
      <c r="L9" s="19" cm="1">
        <f t="array" ref="L9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6.5</v>
      </c>
      <c r="M9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9" s="16"/>
    </row>
    <row r="10" spans="1:14" x14ac:dyDescent="0.3">
      <c r="A10" s="6" t="s">
        <v>264</v>
      </c>
      <c r="B10" s="6" t="s">
        <v>131</v>
      </c>
      <c r="C10" s="16" t="str">
        <f>IF(tblResults[[#This Row],[Sample ID]]="", "", _xlfn.XLOOKUP(tblResults[[#This Row],[Sample ID]], Samples!A:A, Samples!C:C, ""))</f>
        <v>Paracetamol</v>
      </c>
      <c r="D10" s="16" t="s">
        <v>74</v>
      </c>
      <c r="E10" s="16" t="str">
        <f>IF(tblResults[[#This Row],[Method ID]]="", "", _xlfn.XLOOKUP(tblResults[[#This Row],[Method ID]], 'Test Methods'!A:A, 'Test Methods'!B:B, ""))</f>
        <v>HPLC Assay</v>
      </c>
      <c r="F10" s="9">
        <v>46121</v>
      </c>
      <c r="G10" s="10">
        <v>0.47916666666666669</v>
      </c>
      <c r="H10" s="16" t="s">
        <v>38</v>
      </c>
      <c r="I10" s="19">
        <v>101.2</v>
      </c>
      <c r="J10" s="6" t="str" cm="1">
        <f t="array" ref="J10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10" s="19" cm="1">
        <f t="array" ref="K10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95</v>
      </c>
      <c r="L10" s="19" cm="1">
        <f t="array" ref="L10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105</v>
      </c>
      <c r="M10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0" s="16"/>
    </row>
    <row r="11" spans="1:14" x14ac:dyDescent="0.3">
      <c r="A11" s="6" t="s">
        <v>265</v>
      </c>
      <c r="B11" s="6" t="s">
        <v>131</v>
      </c>
      <c r="C11" s="16" t="str">
        <f>IF(tblResults[[#This Row],[Sample ID]]="", "", _xlfn.XLOOKUP(tblResults[[#This Row],[Sample ID]], Samples!A:A, Samples!C:C, ""))</f>
        <v>Paracetamol</v>
      </c>
      <c r="D11" s="16" t="s">
        <v>76</v>
      </c>
      <c r="E11" s="16" t="str">
        <f>IF(tblResults[[#This Row],[Method ID]]="", "", _xlfn.XLOOKUP(tblResults[[#This Row],[Method ID]], 'Test Methods'!A:A, 'Test Methods'!B:B, ""))</f>
        <v>Dissolution</v>
      </c>
      <c r="F11" s="9">
        <v>46121</v>
      </c>
      <c r="G11" s="10">
        <v>0.57291666666666663</v>
      </c>
      <c r="H11" s="16" t="s">
        <v>39</v>
      </c>
      <c r="I11" s="19">
        <v>88</v>
      </c>
      <c r="J11" s="6" t="str" cm="1">
        <f t="array" ref="J11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released</v>
      </c>
      <c r="K11" s="19" cm="1">
        <f t="array" ref="K11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80</v>
      </c>
      <c r="L11" s="19" cm="1">
        <f t="array" ref="L11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11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1" s="16"/>
    </row>
    <row r="12" spans="1:14" x14ac:dyDescent="0.3">
      <c r="A12" s="6" t="s">
        <v>266</v>
      </c>
      <c r="B12" s="6" t="s">
        <v>134</v>
      </c>
      <c r="C12" s="16" t="str">
        <f>IF(tblResults[[#This Row],[Sample ID]]="", "", _xlfn.XLOOKUP(tblResults[[#This Row],[Sample ID]], Samples!A:A, Samples!C:C, ""))</f>
        <v>Paracetamol</v>
      </c>
      <c r="D12" s="16" t="s">
        <v>52</v>
      </c>
      <c r="E12" s="16" t="str">
        <f>IF(tblResults[[#This Row],[Method ID]]="", "", _xlfn.XLOOKUP(tblResults[[#This Row],[Method ID]], 'Test Methods'!A:A, 'Test Methods'!B:B, ""))</f>
        <v>pH Test</v>
      </c>
      <c r="F12" s="9">
        <v>46133</v>
      </c>
      <c r="G12" s="10">
        <v>0.375</v>
      </c>
      <c r="H12" s="16" t="s">
        <v>39</v>
      </c>
      <c r="I12" s="19">
        <v>5.8</v>
      </c>
      <c r="J12" s="6" t="str" cm="1">
        <f t="array" ref="J12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12" s="19" cm="1">
        <f t="array" ref="K12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5.5</v>
      </c>
      <c r="L12" s="19" cm="1">
        <f t="array" ref="L12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6.5</v>
      </c>
      <c r="M12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2" s="16"/>
    </row>
    <row r="13" spans="1:14" x14ac:dyDescent="0.3">
      <c r="A13" s="6" t="s">
        <v>267</v>
      </c>
      <c r="B13" s="6" t="s">
        <v>134</v>
      </c>
      <c r="C13" s="16" t="str">
        <f>IF(tblResults[[#This Row],[Sample ID]]="", "", _xlfn.XLOOKUP(tblResults[[#This Row],[Sample ID]], Samples!A:A, Samples!C:C, ""))</f>
        <v>Paracetamol</v>
      </c>
      <c r="D13" s="16" t="s">
        <v>74</v>
      </c>
      <c r="E13" s="16" t="str">
        <f>IF(tblResults[[#This Row],[Method ID]]="", "", _xlfn.XLOOKUP(tblResults[[#This Row],[Method ID]], 'Test Methods'!A:A, 'Test Methods'!B:B, ""))</f>
        <v>HPLC Assay</v>
      </c>
      <c r="F13" s="9">
        <v>46133</v>
      </c>
      <c r="G13" s="10">
        <v>0.4375</v>
      </c>
      <c r="H13" s="16" t="s">
        <v>40</v>
      </c>
      <c r="I13" s="19">
        <v>96.4</v>
      </c>
      <c r="J13" s="6" t="str" cm="1">
        <f t="array" ref="J13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13" s="19" cm="1">
        <f t="array" ref="K13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95</v>
      </c>
      <c r="L13" s="19" cm="1">
        <f t="array" ref="L13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105</v>
      </c>
      <c r="M13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3" s="16"/>
    </row>
    <row r="14" spans="1:14" x14ac:dyDescent="0.3">
      <c r="A14" s="6" t="s">
        <v>268</v>
      </c>
      <c r="B14" s="6" t="s">
        <v>135</v>
      </c>
      <c r="C14" s="16" t="str">
        <f>IF(tblResults[[#This Row],[Sample ID]]="", "", _xlfn.XLOOKUP(tblResults[[#This Row],[Sample ID]], Samples!A:A, Samples!C:C, ""))</f>
        <v>Paracetamol</v>
      </c>
      <c r="D14" s="16" t="s">
        <v>74</v>
      </c>
      <c r="E14" s="16" t="str">
        <f>IF(tblResults[[#This Row],[Method ID]]="", "", _xlfn.XLOOKUP(tblResults[[#This Row],[Method ID]], 'Test Methods'!A:A, 'Test Methods'!B:B, ""))</f>
        <v>HPLC Assay</v>
      </c>
      <c r="F14" s="9">
        <v>46135</v>
      </c>
      <c r="G14" s="10">
        <v>0.38541666666666669</v>
      </c>
      <c r="H14" s="16" t="s">
        <v>39</v>
      </c>
      <c r="I14" s="19">
        <v>94.1</v>
      </c>
      <c r="J14" s="6" t="str" cm="1">
        <f t="array" ref="J14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14" s="19" cm="1">
        <f t="array" ref="K14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95</v>
      </c>
      <c r="L14" s="19" cm="1">
        <f t="array" ref="L14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105</v>
      </c>
      <c r="M14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OOS</v>
      </c>
      <c r="N14" s="16" t="s">
        <v>280</v>
      </c>
    </row>
    <row r="15" spans="1:14" x14ac:dyDescent="0.3">
      <c r="A15" s="6" t="s">
        <v>269</v>
      </c>
      <c r="B15" s="6" t="s">
        <v>136</v>
      </c>
      <c r="C15" s="16" t="str">
        <f>IF(tblResults[[#This Row],[Sample ID]]="", "", _xlfn.XLOOKUP(tblResults[[#This Row],[Sample ID]], Samples!A:A, Samples!C:C, ""))</f>
        <v>Ozempic</v>
      </c>
      <c r="D15" s="16" t="s">
        <v>52</v>
      </c>
      <c r="E15" s="16" t="str">
        <f>IF(tblResults[[#This Row],[Method ID]]="", "", _xlfn.XLOOKUP(tblResults[[#This Row],[Method ID]], 'Test Methods'!A:A, 'Test Methods'!B:B, ""))</f>
        <v>pH Test</v>
      </c>
      <c r="F15" s="9">
        <v>46118</v>
      </c>
      <c r="G15" s="10">
        <v>0.39583333333333331</v>
      </c>
      <c r="H15" s="16" t="s">
        <v>55</v>
      </c>
      <c r="I15" s="19">
        <v>7.2</v>
      </c>
      <c r="J15" s="6" t="str" cm="1">
        <f t="array" ref="J15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15" s="19" cm="1">
        <f t="array" ref="K15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6.5</v>
      </c>
      <c r="L15" s="19" cm="1">
        <f t="array" ref="L15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8</v>
      </c>
      <c r="M15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5" s="16"/>
    </row>
    <row r="16" spans="1:14" x14ac:dyDescent="0.3">
      <c r="A16" s="6" t="s">
        <v>270</v>
      </c>
      <c r="B16" s="6" t="s">
        <v>136</v>
      </c>
      <c r="C16" s="16" t="str">
        <f>IF(tblResults[[#This Row],[Sample ID]]="", "", _xlfn.XLOOKUP(tblResults[[#This Row],[Sample ID]], Samples!A:A, Samples!C:C, ""))</f>
        <v>Ozempic</v>
      </c>
      <c r="D16" s="16" t="s">
        <v>74</v>
      </c>
      <c r="E16" s="16" t="str">
        <f>IF(tblResults[[#This Row],[Method ID]]="", "", _xlfn.XLOOKUP(tblResults[[#This Row],[Method ID]], 'Test Methods'!A:A, 'Test Methods'!B:B, ""))</f>
        <v>HPLC Assay</v>
      </c>
      <c r="F16" s="9">
        <v>46118</v>
      </c>
      <c r="G16" s="10">
        <v>0.47916666666666669</v>
      </c>
      <c r="H16" s="16" t="s">
        <v>55</v>
      </c>
      <c r="I16" s="19">
        <v>100.4</v>
      </c>
      <c r="J16" s="6" t="str" cm="1">
        <f t="array" ref="J16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16" s="19" cm="1">
        <f t="array" ref="K16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98</v>
      </c>
      <c r="L16" s="19" cm="1">
        <f t="array" ref="L16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102</v>
      </c>
      <c r="M16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6" s="16"/>
    </row>
    <row r="17" spans="1:14" x14ac:dyDescent="0.3">
      <c r="A17" s="6" t="s">
        <v>271</v>
      </c>
      <c r="B17" s="6" t="s">
        <v>136</v>
      </c>
      <c r="C17" s="16" t="str">
        <f>IF(tblResults[[#This Row],[Sample ID]]="", "", _xlfn.XLOOKUP(tblResults[[#This Row],[Sample ID]], Samples!A:A, Samples!C:C, ""))</f>
        <v>Ozempic</v>
      </c>
      <c r="D17" s="16" t="s">
        <v>78</v>
      </c>
      <c r="E17" s="16" t="str">
        <f>IF(tblResults[[#This Row],[Method ID]]="", "", _xlfn.XLOOKUP(tblResults[[#This Row],[Method ID]], 'Test Methods'!A:A, 'Test Methods'!B:B, ""))</f>
        <v>Microbial Count</v>
      </c>
      <c r="F17" s="9">
        <v>46118</v>
      </c>
      <c r="G17" s="10">
        <v>0.58333333333333337</v>
      </c>
      <c r="H17" s="16" t="s">
        <v>40</v>
      </c>
      <c r="I17" s="19">
        <v>12</v>
      </c>
      <c r="J17" s="6" t="str" cm="1">
        <f t="array" ref="J17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CFU/g</v>
      </c>
      <c r="K17" s="19" cm="1">
        <f t="array" ref="K17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0</v>
      </c>
      <c r="L17" s="19" cm="1">
        <f t="array" ref="L17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17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7" s="16"/>
    </row>
    <row r="18" spans="1:14" x14ac:dyDescent="0.3">
      <c r="A18" s="6" t="s">
        <v>272</v>
      </c>
      <c r="B18" s="6" t="s">
        <v>137</v>
      </c>
      <c r="C18" s="16" t="str">
        <f>IF(tblResults[[#This Row],[Sample ID]]="", "", _xlfn.XLOOKUP(tblResults[[#This Row],[Sample ID]], Samples!A:A, Samples!C:C, ""))</f>
        <v>Ozempic</v>
      </c>
      <c r="D18" s="16" t="s">
        <v>52</v>
      </c>
      <c r="E18" s="16" t="str">
        <f>IF(tblResults[[#This Row],[Method ID]]="", "", _xlfn.XLOOKUP(tblResults[[#This Row],[Method ID]], 'Test Methods'!A:A, 'Test Methods'!B:B, ""))</f>
        <v>pH Test</v>
      </c>
      <c r="F18" s="9">
        <v>46124</v>
      </c>
      <c r="G18" s="10">
        <v>0.40625</v>
      </c>
      <c r="H18" s="16" t="s">
        <v>39</v>
      </c>
      <c r="I18" s="19">
        <v>7.4</v>
      </c>
      <c r="J18" s="6" t="str" cm="1">
        <f t="array" ref="J18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18" s="19" cm="1">
        <f t="array" ref="K18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6.5</v>
      </c>
      <c r="L18" s="19" cm="1">
        <f t="array" ref="L18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8</v>
      </c>
      <c r="M18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8" s="16"/>
    </row>
    <row r="19" spans="1:14" x14ac:dyDescent="0.3">
      <c r="A19" s="6" t="s">
        <v>273</v>
      </c>
      <c r="B19" s="6" t="s">
        <v>137</v>
      </c>
      <c r="C19" s="16" t="str">
        <f>IF(tblResults[[#This Row],[Sample ID]]="", "", _xlfn.XLOOKUP(tblResults[[#This Row],[Sample ID]], Samples!A:A, Samples!C:C, ""))</f>
        <v>Ozempic</v>
      </c>
      <c r="D19" s="16" t="s">
        <v>74</v>
      </c>
      <c r="E19" s="16" t="str">
        <f>IF(tblResults[[#This Row],[Method ID]]="", "", _xlfn.XLOOKUP(tblResults[[#This Row],[Method ID]], 'Test Methods'!A:A, 'Test Methods'!B:B, ""))</f>
        <v>HPLC Assay</v>
      </c>
      <c r="F19" s="9">
        <v>46124</v>
      </c>
      <c r="G19" s="10">
        <v>0.47916666666666669</v>
      </c>
      <c r="H19" s="16" t="s">
        <v>39</v>
      </c>
      <c r="I19" s="19">
        <v>99.8</v>
      </c>
      <c r="J19" s="6" t="str" cm="1">
        <f t="array" ref="J19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19" s="19" cm="1">
        <f t="array" ref="K19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98</v>
      </c>
      <c r="L19" s="19" cm="1">
        <f t="array" ref="L19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102</v>
      </c>
      <c r="M19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19" s="16"/>
    </row>
    <row r="20" spans="1:14" x14ac:dyDescent="0.3">
      <c r="A20" s="6" t="s">
        <v>274</v>
      </c>
      <c r="B20" s="6" t="s">
        <v>138</v>
      </c>
      <c r="C20" s="16" t="str">
        <f>IF(tblResults[[#This Row],[Sample ID]]="", "", _xlfn.XLOOKUP(tblResults[[#This Row],[Sample ID]], Samples!A:A, Samples!C:C, ""))</f>
        <v>Ozempic</v>
      </c>
      <c r="D20" s="16" t="s">
        <v>52</v>
      </c>
      <c r="E20" s="16" t="str">
        <f>IF(tblResults[[#This Row],[Method ID]]="", "", _xlfn.XLOOKUP(tblResults[[#This Row],[Method ID]], 'Test Methods'!A:A, 'Test Methods'!B:B, ""))</f>
        <v>pH Test</v>
      </c>
      <c r="F20" s="9">
        <v>46129</v>
      </c>
      <c r="G20" s="10">
        <v>0.39583333333333331</v>
      </c>
      <c r="H20" s="16" t="s">
        <v>38</v>
      </c>
      <c r="I20" s="19">
        <v>7</v>
      </c>
      <c r="J20" s="6" t="str" cm="1">
        <f t="array" ref="J20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20" s="19" cm="1">
        <f t="array" ref="K20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6.5</v>
      </c>
      <c r="L20" s="19" cm="1">
        <f t="array" ref="L20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8</v>
      </c>
      <c r="M20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0" s="16"/>
    </row>
    <row r="21" spans="1:14" x14ac:dyDescent="0.3">
      <c r="A21" s="6" t="s">
        <v>275</v>
      </c>
      <c r="B21" s="6" t="s">
        <v>138</v>
      </c>
      <c r="C21" s="16" t="str">
        <f>IF(tblResults[[#This Row],[Sample ID]]="", "", _xlfn.XLOOKUP(tblResults[[#This Row],[Sample ID]], Samples!A:A, Samples!C:C, ""))</f>
        <v>Ozempic</v>
      </c>
      <c r="D21" s="16" t="s">
        <v>74</v>
      </c>
      <c r="E21" s="16" t="str">
        <f>IF(tblResults[[#This Row],[Method ID]]="", "", _xlfn.XLOOKUP(tblResults[[#This Row],[Method ID]], 'Test Methods'!A:A, 'Test Methods'!B:B, ""))</f>
        <v>HPLC Assay</v>
      </c>
      <c r="F21" s="9">
        <v>46129</v>
      </c>
      <c r="G21" s="10">
        <v>0.46875</v>
      </c>
      <c r="H21" s="16" t="s">
        <v>38</v>
      </c>
      <c r="I21" s="19">
        <v>96.2</v>
      </c>
      <c r="J21" s="6" t="str" cm="1">
        <f t="array" ref="J21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1" s="19" cm="1">
        <f t="array" ref="K21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98</v>
      </c>
      <c r="L21" s="19" cm="1">
        <f t="array" ref="L21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102</v>
      </c>
      <c r="M21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OOS</v>
      </c>
      <c r="N21" s="16" t="s">
        <v>287</v>
      </c>
    </row>
    <row r="22" spans="1:14" x14ac:dyDescent="0.3">
      <c r="A22" s="6" t="s">
        <v>276</v>
      </c>
      <c r="B22" s="6" t="s">
        <v>141</v>
      </c>
      <c r="C22" s="16" t="str">
        <f>IF(tblResults[[#This Row],[Sample ID]]="", "", _xlfn.XLOOKUP(tblResults[[#This Row],[Sample ID]], Samples!A:A, Samples!C:C, ""))</f>
        <v>Ozempic</v>
      </c>
      <c r="D22" s="16" t="s">
        <v>52</v>
      </c>
      <c r="E22" s="16" t="str">
        <f>IF(tblResults[[#This Row],[Method ID]]="", "", _xlfn.XLOOKUP(tblResults[[#This Row],[Method ID]], 'Test Methods'!A:A, 'Test Methods'!B:B, ""))</f>
        <v>pH Test</v>
      </c>
      <c r="F22" s="9">
        <v>46136</v>
      </c>
      <c r="G22" s="10">
        <v>0.54166666666666663</v>
      </c>
      <c r="H22" s="16" t="s">
        <v>40</v>
      </c>
      <c r="I22" s="19">
        <v>7.3</v>
      </c>
      <c r="J22" s="6" t="str" cm="1">
        <f t="array" ref="J22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pH Units</v>
      </c>
      <c r="K22" s="19" cm="1">
        <f t="array" ref="K22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6.5</v>
      </c>
      <c r="L22" s="19" cm="1">
        <f t="array" ref="L22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8</v>
      </c>
      <c r="M22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2" s="16"/>
    </row>
    <row r="23" spans="1:14" x14ac:dyDescent="0.3">
      <c r="A23" s="6" t="s">
        <v>277</v>
      </c>
      <c r="B23" s="6" t="s">
        <v>141</v>
      </c>
      <c r="C23" s="16" t="str">
        <f>IF(tblResults[[#This Row],[Sample ID]]="", "", _xlfn.XLOOKUP(tblResults[[#This Row],[Sample ID]], Samples!A:A, Samples!C:C, ""))</f>
        <v>Ozempic</v>
      </c>
      <c r="D23" s="16" t="s">
        <v>74</v>
      </c>
      <c r="E23" s="16" t="str">
        <f>IF(tblResults[[#This Row],[Method ID]]="", "", _xlfn.XLOOKUP(tblResults[[#This Row],[Method ID]], 'Test Methods'!A:A, 'Test Methods'!B:B, ""))</f>
        <v>HPLC Assay</v>
      </c>
      <c r="F23" s="9">
        <v>46136</v>
      </c>
      <c r="G23" s="10">
        <v>0.60416666666666663</v>
      </c>
      <c r="H23" s="16" t="s">
        <v>40</v>
      </c>
      <c r="I23" s="19">
        <v>99.1</v>
      </c>
      <c r="J23" s="6" t="str" cm="1">
        <f t="array" ref="J23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3" s="19" cm="1">
        <f t="array" ref="K23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98</v>
      </c>
      <c r="L23" s="19" cm="1">
        <f t="array" ref="L23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102</v>
      </c>
      <c r="M23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3" s="16"/>
    </row>
    <row r="24" spans="1:14" x14ac:dyDescent="0.3">
      <c r="A24" s="6" t="s">
        <v>278</v>
      </c>
      <c r="B24" s="6" t="s">
        <v>142</v>
      </c>
      <c r="C24" s="16" t="str">
        <f>IF(tblResults[[#This Row],[Sample ID]]="", "", _xlfn.XLOOKUP(tblResults[[#This Row],[Sample ID]], Samples!A:A, Samples!C:C, ""))</f>
        <v>Ibuprofen</v>
      </c>
      <c r="D24" s="16" t="s">
        <v>74</v>
      </c>
      <c r="E24" s="16" t="str">
        <f>IF(tblResults[[#This Row],[Method ID]]="", "", _xlfn.XLOOKUP(tblResults[[#This Row],[Method ID]], 'Test Methods'!A:A, 'Test Methods'!B:B, ""))</f>
        <v>HPLC Assay</v>
      </c>
      <c r="F24" s="9">
        <v>46122</v>
      </c>
      <c r="G24" s="10">
        <v>0.39583333333333331</v>
      </c>
      <c r="H24" s="16" t="s">
        <v>38</v>
      </c>
      <c r="I24" s="19">
        <v>102.5</v>
      </c>
      <c r="J24" s="6" t="str" cm="1">
        <f t="array" ref="J24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4" s="19" cm="1">
        <f t="array" ref="K24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90</v>
      </c>
      <c r="L24" s="19" cm="1">
        <f t="array" ref="L24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110</v>
      </c>
      <c r="M24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4" s="16"/>
    </row>
    <row r="25" spans="1:14" x14ac:dyDescent="0.3">
      <c r="A25" s="6" t="s">
        <v>279</v>
      </c>
      <c r="B25" s="6" t="s">
        <v>142</v>
      </c>
      <c r="C25" s="16" t="str">
        <f>IF(tblResults[[#This Row],[Sample ID]]="", "", _xlfn.XLOOKUP(tblResults[[#This Row],[Sample ID]], Samples!A:A, Samples!C:C, ""))</f>
        <v>Ibuprofen</v>
      </c>
      <c r="D25" s="16" t="s">
        <v>76</v>
      </c>
      <c r="E25" s="16" t="str">
        <f>IF(tblResults[[#This Row],[Method ID]]="", "", _xlfn.XLOOKUP(tblResults[[#This Row],[Method ID]], 'Test Methods'!A:A, 'Test Methods'!B:B, ""))</f>
        <v>Dissolution</v>
      </c>
      <c r="F25" s="9">
        <v>46122</v>
      </c>
      <c r="G25" s="10">
        <v>0.46875</v>
      </c>
      <c r="H25" s="16" t="s">
        <v>38</v>
      </c>
      <c r="I25" s="19">
        <v>95</v>
      </c>
      <c r="J25" s="6" t="str" cm="1">
        <f t="array" ref="J25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released</v>
      </c>
      <c r="K25" s="19" cm="1">
        <f t="array" ref="K25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80</v>
      </c>
      <c r="L25" s="19" cm="1">
        <f t="array" ref="L25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25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5" s="16"/>
    </row>
    <row r="26" spans="1:14" x14ac:dyDescent="0.3">
      <c r="A26" s="6" t="s">
        <v>281</v>
      </c>
      <c r="B26" s="6" t="s">
        <v>142</v>
      </c>
      <c r="C26" s="16" t="str">
        <f>IF(tblResults[[#This Row],[Sample ID]]="", "", _xlfn.XLOOKUP(tblResults[[#This Row],[Sample ID]], Samples!A:A, Samples!C:C, ""))</f>
        <v>Ibuprofen</v>
      </c>
      <c r="D26" s="16" t="s">
        <v>77</v>
      </c>
      <c r="E26" s="16" t="str">
        <f>IF(tblResults[[#This Row],[Method ID]]="", "", _xlfn.XLOOKUP(tblResults[[#This Row],[Method ID]], 'Test Methods'!A:A, 'Test Methods'!B:B, ""))</f>
        <v>Water Content (KF)</v>
      </c>
      <c r="F26" s="9">
        <v>46122</v>
      </c>
      <c r="G26" s="10">
        <v>0.5625</v>
      </c>
      <c r="H26" s="16" t="s">
        <v>39</v>
      </c>
      <c r="I26" s="19">
        <v>3.2</v>
      </c>
      <c r="J26" s="6" t="str" cm="1">
        <f t="array" ref="J26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6" s="19" cm="1">
        <f t="array" ref="K26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0</v>
      </c>
      <c r="L26" s="19" cm="1">
        <f t="array" ref="L26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5</v>
      </c>
      <c r="M26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6" s="16"/>
    </row>
    <row r="27" spans="1:14" x14ac:dyDescent="0.3">
      <c r="A27" s="6" t="s">
        <v>282</v>
      </c>
      <c r="B27" s="6" t="s">
        <v>143</v>
      </c>
      <c r="C27" s="16" t="str">
        <f>IF(tblResults[[#This Row],[Sample ID]]="", "", _xlfn.XLOOKUP(tblResults[[#This Row],[Sample ID]], Samples!A:A, Samples!C:C, ""))</f>
        <v>Ibuprofen</v>
      </c>
      <c r="D27" s="16" t="s">
        <v>74</v>
      </c>
      <c r="E27" s="16" t="str">
        <f>IF(tblResults[[#This Row],[Method ID]]="", "", _xlfn.XLOOKUP(tblResults[[#This Row],[Method ID]], 'Test Methods'!A:A, 'Test Methods'!B:B, ""))</f>
        <v>HPLC Assay</v>
      </c>
      <c r="F27" s="9">
        <v>46130</v>
      </c>
      <c r="G27" s="10">
        <v>0.38541666666666669</v>
      </c>
      <c r="H27" s="16" t="s">
        <v>55</v>
      </c>
      <c r="I27" s="19">
        <v>89.5</v>
      </c>
      <c r="J27" s="6" t="str" cm="1">
        <f t="array" ref="J27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7" s="19" cm="1">
        <f t="array" ref="K27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90</v>
      </c>
      <c r="L27" s="19" cm="1">
        <f t="array" ref="L27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110</v>
      </c>
      <c r="M27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OOS</v>
      </c>
      <c r="N27" s="16" t="s">
        <v>286</v>
      </c>
    </row>
    <row r="28" spans="1:14" x14ac:dyDescent="0.3">
      <c r="A28" s="6" t="s">
        <v>283</v>
      </c>
      <c r="B28" s="6" t="s">
        <v>143</v>
      </c>
      <c r="C28" s="16" t="str">
        <f>IF(tblResults[[#This Row],[Sample ID]]="", "", _xlfn.XLOOKUP(tblResults[[#This Row],[Sample ID]], Samples!A:A, Samples!C:C, ""))</f>
        <v>Ibuprofen</v>
      </c>
      <c r="D28" s="16" t="s">
        <v>76</v>
      </c>
      <c r="E28" s="16" t="str">
        <f>IF(tblResults[[#This Row],[Method ID]]="", "", _xlfn.XLOOKUP(tblResults[[#This Row],[Method ID]], 'Test Methods'!A:A, 'Test Methods'!B:B, ""))</f>
        <v>Dissolution</v>
      </c>
      <c r="F28" s="9">
        <v>46130</v>
      </c>
      <c r="G28" s="10">
        <v>0.47916666666666669</v>
      </c>
      <c r="H28" s="16" t="s">
        <v>55</v>
      </c>
      <c r="I28" s="19">
        <v>78</v>
      </c>
      <c r="J28" s="6" t="str" cm="1">
        <f t="array" ref="J28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released</v>
      </c>
      <c r="K28" s="19" cm="1">
        <f t="array" ref="K28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80</v>
      </c>
      <c r="L28" s="19" cm="1">
        <f t="array" ref="L28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28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OOS</v>
      </c>
      <c r="N28" s="16" t="s">
        <v>286</v>
      </c>
    </row>
    <row r="29" spans="1:14" x14ac:dyDescent="0.3">
      <c r="A29" s="6" t="s">
        <v>284</v>
      </c>
      <c r="B29" s="6" t="s">
        <v>145</v>
      </c>
      <c r="C29" s="16" t="str">
        <f>IF(tblResults[[#This Row],[Sample ID]]="", "", _xlfn.XLOOKUP(tblResults[[#This Row],[Sample ID]], Samples!A:A, Samples!C:C, ""))</f>
        <v>Ibuprofen</v>
      </c>
      <c r="D29" s="16" t="s">
        <v>74</v>
      </c>
      <c r="E29" s="16" t="str">
        <f>IF(tblResults[[#This Row],[Method ID]]="", "", _xlfn.XLOOKUP(tblResults[[#This Row],[Method ID]], 'Test Methods'!A:A, 'Test Methods'!B:B, ""))</f>
        <v>HPLC Assay</v>
      </c>
      <c r="F29" s="9">
        <v>46139</v>
      </c>
      <c r="G29" s="10">
        <v>0.5625</v>
      </c>
      <c r="H29" s="16" t="s">
        <v>39</v>
      </c>
      <c r="I29" s="19">
        <v>100.8</v>
      </c>
      <c r="J29" s="6" t="str" cm="1">
        <f t="array" ref="J29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w/w</v>
      </c>
      <c r="K29" s="19" cm="1">
        <f t="array" ref="K29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90</v>
      </c>
      <c r="L29" s="19" cm="1">
        <f t="array" ref="L29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110</v>
      </c>
      <c r="M29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Pass</v>
      </c>
      <c r="N29" s="16"/>
    </row>
    <row r="30" spans="1:14" x14ac:dyDescent="0.3">
      <c r="A30" s="6" t="s">
        <v>285</v>
      </c>
      <c r="B30" s="6" t="s">
        <v>134</v>
      </c>
      <c r="C30" s="16" t="str">
        <f>IF(tblResults[[#This Row],[Sample ID]]="", "", _xlfn.XLOOKUP(tblResults[[#This Row],[Sample ID]], Samples!A:A, Samples!C:C, ""))</f>
        <v>Paracetamol</v>
      </c>
      <c r="D30" s="16" t="s">
        <v>76</v>
      </c>
      <c r="E30" s="16" t="str">
        <f>IF(tblResults[[#This Row],[Method ID]]="", "", _xlfn.XLOOKUP(tblResults[[#This Row],[Method ID]], 'Test Methods'!A:A, 'Test Methods'!B:B, ""))</f>
        <v>Dissolution</v>
      </c>
      <c r="F30" s="9">
        <v>46151</v>
      </c>
      <c r="G30" s="10">
        <v>0.66666666666666663</v>
      </c>
      <c r="H30" s="16" t="s">
        <v>55</v>
      </c>
      <c r="I30" s="19">
        <v>76.2</v>
      </c>
      <c r="J30" s="6" t="str" cm="1">
        <f t="array" ref="J30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>% released</v>
      </c>
      <c r="K30" s="19" cm="1">
        <f t="array" ref="K30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>80</v>
      </c>
      <c r="L30" s="19" cm="1">
        <f t="array" ref="L30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>100</v>
      </c>
      <c r="M30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>OOS</v>
      </c>
    </row>
    <row r="31" spans="1:14" x14ac:dyDescent="0.3">
      <c r="E31" s="16" t="str">
        <f>IF(tblResults[[#This Row],[Method ID]]="", "", _xlfn.XLOOKUP(tblResults[[#This Row],[Method ID]], 'Test Methods'!A:A, 'Test Methods'!B:B, ""))</f>
        <v/>
      </c>
      <c r="F31" s="9"/>
      <c r="G31" s="10"/>
      <c r="J31" s="6" t="str" cm="1">
        <f t="array" ref="J31">IF(OR(tblResults[[#This Row],[Product Name]]="", tblResults[[#This Row],[Method Name]]=""), "", _xlfn.XLOOKUP(tblResults[[#This Row],[Product Name]]&amp;tblResults[[#This Row],[Method Name]], Specifications!B:B&amp;Specifications!D:D, Specifications!G:G, "No Spec"))</f>
        <v/>
      </c>
      <c r="K31" s="19" t="str" cm="1">
        <f t="array" ref="K31">IF(OR(tblResults[[#This Row],[Product Name]]="", tblResults[[#This Row],[Method Name]]=""), "", _xlfn.XLOOKUP(tblResults[[#This Row],[Product Name]]&amp;tblResults[[#This Row],[Method Name]], Specifications!B:B&amp;Specifications!D:D, Specifications!E:E, "No Spec"))</f>
        <v/>
      </c>
      <c r="L31" s="19" t="str" cm="1">
        <f t="array" ref="L31">IF(OR(tblResults[[#This Row],[Product Name]]="", tblResults[[#This Row],[Method Name]]=""), "", _xlfn.XLOOKUP(tblResults[[#This Row],[Product Name]]&amp;tblResults[[#This Row],[Method Name]], Specifications!B:B&amp;Specifications!D:D, Specifications!F:F, "No Spec"))</f>
        <v/>
      </c>
      <c r="M31" s="6" t="str">
        <f>IF(tblResults[[#This Row],[Measured Value]]="","",IF(NOT(ISNUMBER(tblResults[[#This Row],[Measured Value]])),"Invalid Entry",IF(OR(tblResults[[#This Row],[Lower Limit]]="",tblResults[[#This Row],[Upper Limit]]="",tblResults[[#This Row],[Lower Limit]]="No Spec"),"",IF(AND(tblResults[[#This Row],[Measured Value]]&gt;=tblResults[[#This Row],[Lower Limit]],tblResults[[#This Row],[Measured Value]]&lt;=tblResults[[#This Row],[Upper Limit]]),"Pass","OOS"))))</f>
        <v/>
      </c>
    </row>
    <row r="32" spans="1:14" x14ac:dyDescent="0.3">
      <c r="F32" s="9"/>
      <c r="G32" s="10"/>
    </row>
    <row r="33" spans="6:7" x14ac:dyDescent="0.3">
      <c r="F33" s="9"/>
      <c r="G33" s="11"/>
    </row>
    <row r="34" spans="6:7" x14ac:dyDescent="0.3">
      <c r="F34" s="9"/>
      <c r="G34" s="11"/>
    </row>
  </sheetData>
  <phoneticPr fontId="2" type="noConversion"/>
  <conditionalFormatting sqref="M2:M31">
    <cfRule type="cellIs" dxfId="8" priority="1" operator="equal">
      <formula>"OOS"</formula>
    </cfRule>
    <cfRule type="cellIs" dxfId="7" priority="2" operator="equal">
      <formula>"Pass"</formula>
    </cfRule>
  </conditionalFormatting>
  <dataValidations count="4">
    <dataValidation type="list" allowBlank="1" showInputMessage="1" showErrorMessage="1" sqref="L1 L30 L32:L1048576" xr:uid="{47B0917D-27E3-44D3-BAC0-096D066AE290}">
      <formula1>"0.5, 5, 6.5, 8, 100, 102, 105,110"</formula1>
    </dataValidation>
    <dataValidation type="list" allowBlank="1" showInputMessage="1" showErrorMessage="1" sqref="B1:B1048576" xr:uid="{90ADBEE7-C8D2-411D-BDC8-256EC7DC1EDA}">
      <formula1>SampleIDList</formula1>
    </dataValidation>
    <dataValidation type="list" allowBlank="1" showInputMessage="1" showErrorMessage="1" sqref="D2:D32" xr:uid="{66A96217-1D67-42ED-95A2-65D0225C588F}">
      <formula1>MethodIDList</formula1>
    </dataValidation>
    <dataValidation type="list" allowBlank="1" showInputMessage="1" showErrorMessage="1" sqref="H2:H32" xr:uid="{F05410E3-4964-4370-982A-7046A826152F}">
      <formula1>AnalystList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16D8-525B-416A-AF2C-49BAF6E9CEA7}">
  <dimension ref="A1:I14"/>
  <sheetViews>
    <sheetView workbookViewId="0">
      <pane ySplit="1" topLeftCell="A2" activePane="bottomLeft" state="frozen"/>
      <selection activeCell="C1" sqref="C1"/>
      <selection pane="bottomLeft" activeCell="G14" sqref="G14"/>
    </sheetView>
  </sheetViews>
  <sheetFormatPr defaultRowHeight="14.4" x14ac:dyDescent="0.3"/>
  <cols>
    <col min="1" max="1" width="13.88671875" bestFit="1" customWidth="1"/>
    <col min="2" max="2" width="14" bestFit="1" customWidth="1"/>
    <col min="3" max="3" width="11.5546875" bestFit="1" customWidth="1"/>
    <col min="4" max="4" width="8.109375" bestFit="1" customWidth="1"/>
    <col min="5" max="5" width="8.5546875" bestFit="1" customWidth="1"/>
    <col min="6" max="6" width="15" bestFit="1" customWidth="1"/>
    <col min="7" max="7" width="12.5546875" bestFit="1" customWidth="1"/>
    <col min="8" max="8" width="12.6640625" bestFit="1" customWidth="1"/>
    <col min="9" max="9" width="12.33203125" bestFit="1" customWidth="1"/>
  </cols>
  <sheetData>
    <row r="1" spans="1:9" x14ac:dyDescent="0.3">
      <c r="A1" t="s">
        <v>200</v>
      </c>
      <c r="B1" t="s">
        <v>123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15</v>
      </c>
    </row>
    <row r="2" spans="1:9" x14ac:dyDescent="0.3">
      <c r="A2" t="s">
        <v>207</v>
      </c>
      <c r="B2" t="s">
        <v>132</v>
      </c>
      <c r="C2" s="5">
        <v>46131</v>
      </c>
      <c r="D2" s="4">
        <v>0.36497685185185186</v>
      </c>
      <c r="E2" t="s">
        <v>224</v>
      </c>
      <c r="F2" t="s">
        <v>60</v>
      </c>
      <c r="G2" t="s">
        <v>215</v>
      </c>
      <c r="H2" t="s">
        <v>38</v>
      </c>
    </row>
    <row r="3" spans="1:9" x14ac:dyDescent="0.3">
      <c r="A3" t="s">
        <v>208</v>
      </c>
      <c r="B3" t="s">
        <v>132</v>
      </c>
      <c r="C3" s="5">
        <v>46131</v>
      </c>
      <c r="D3" s="4">
        <v>0.37513888888888891</v>
      </c>
      <c r="E3" t="s">
        <v>222</v>
      </c>
      <c r="F3" t="s">
        <v>215</v>
      </c>
      <c r="G3" t="s">
        <v>221</v>
      </c>
      <c r="H3" t="s">
        <v>38</v>
      </c>
    </row>
    <row r="4" spans="1:9" x14ac:dyDescent="0.3">
      <c r="A4" t="s">
        <v>209</v>
      </c>
      <c r="B4" t="s">
        <v>132</v>
      </c>
      <c r="C4" s="5">
        <v>46131</v>
      </c>
      <c r="D4" s="4">
        <v>0.42775462962962962</v>
      </c>
      <c r="E4" t="s">
        <v>214</v>
      </c>
      <c r="F4" t="s">
        <v>221</v>
      </c>
      <c r="G4" t="s">
        <v>221</v>
      </c>
      <c r="H4" t="s">
        <v>39</v>
      </c>
    </row>
    <row r="5" spans="1:9" x14ac:dyDescent="0.3">
      <c r="A5" t="s">
        <v>210</v>
      </c>
      <c r="B5" t="s">
        <v>132</v>
      </c>
      <c r="C5" s="5">
        <v>46131</v>
      </c>
      <c r="D5" s="4">
        <v>0.6100578703703704</v>
      </c>
      <c r="E5" t="s">
        <v>220</v>
      </c>
      <c r="F5" t="s">
        <v>221</v>
      </c>
      <c r="G5" t="s">
        <v>219</v>
      </c>
      <c r="H5" t="s">
        <v>39</v>
      </c>
    </row>
    <row r="6" spans="1:9" x14ac:dyDescent="0.3">
      <c r="A6" t="s">
        <v>211</v>
      </c>
      <c r="B6" t="s">
        <v>16</v>
      </c>
      <c r="C6" s="5">
        <v>46138</v>
      </c>
      <c r="D6" s="4">
        <v>0.43760416666666668</v>
      </c>
      <c r="E6" t="s">
        <v>224</v>
      </c>
      <c r="F6" t="s">
        <v>215</v>
      </c>
      <c r="G6" t="s">
        <v>221</v>
      </c>
      <c r="H6" t="s">
        <v>39</v>
      </c>
    </row>
    <row r="7" spans="1:9" x14ac:dyDescent="0.3">
      <c r="A7" t="s">
        <v>212</v>
      </c>
      <c r="B7" t="s">
        <v>16</v>
      </c>
      <c r="C7" s="5">
        <v>46138</v>
      </c>
      <c r="D7" s="4">
        <v>0.44840277777777776</v>
      </c>
      <c r="E7" t="s">
        <v>222</v>
      </c>
      <c r="F7" t="s">
        <v>221</v>
      </c>
      <c r="G7" t="s">
        <v>216</v>
      </c>
      <c r="H7" t="s">
        <v>39</v>
      </c>
    </row>
    <row r="8" spans="1:9" x14ac:dyDescent="0.3">
      <c r="A8" t="s">
        <v>213</v>
      </c>
      <c r="B8" t="s">
        <v>16</v>
      </c>
      <c r="C8" s="5">
        <v>46138</v>
      </c>
      <c r="D8" s="4">
        <v>0.4619212962962963</v>
      </c>
      <c r="E8" t="s">
        <v>214</v>
      </c>
      <c r="F8" t="s">
        <v>216</v>
      </c>
      <c r="G8" t="s">
        <v>216</v>
      </c>
      <c r="H8" t="s">
        <v>39</v>
      </c>
    </row>
    <row r="9" spans="1:9" x14ac:dyDescent="0.3">
      <c r="A9" t="s">
        <v>225</v>
      </c>
      <c r="B9" t="s">
        <v>16</v>
      </c>
      <c r="C9" s="5">
        <v>46138</v>
      </c>
      <c r="D9" s="4">
        <v>0.58333333333333337</v>
      </c>
      <c r="E9" t="s">
        <v>217</v>
      </c>
      <c r="F9" t="s">
        <v>216</v>
      </c>
      <c r="G9" t="s">
        <v>217</v>
      </c>
      <c r="H9" t="s">
        <v>55</v>
      </c>
    </row>
    <row r="10" spans="1:9" x14ac:dyDescent="0.3">
      <c r="A10" t="s">
        <v>226</v>
      </c>
      <c r="B10" t="s">
        <v>136</v>
      </c>
      <c r="C10" s="5">
        <v>46117</v>
      </c>
      <c r="D10" s="4">
        <v>0.41666666666666669</v>
      </c>
      <c r="E10" t="s">
        <v>224</v>
      </c>
      <c r="F10" t="s">
        <v>60</v>
      </c>
      <c r="G10" t="s">
        <v>215</v>
      </c>
      <c r="H10" t="s">
        <v>55</v>
      </c>
    </row>
    <row r="11" spans="1:9" x14ac:dyDescent="0.3">
      <c r="A11" t="s">
        <v>227</v>
      </c>
      <c r="B11" t="s">
        <v>136</v>
      </c>
      <c r="C11" s="5">
        <v>46117</v>
      </c>
      <c r="D11" s="4">
        <v>0.42708333333333331</v>
      </c>
      <c r="E11" t="s">
        <v>222</v>
      </c>
      <c r="F11" t="s">
        <v>215</v>
      </c>
      <c r="G11" t="s">
        <v>218</v>
      </c>
      <c r="H11" t="s">
        <v>55</v>
      </c>
    </row>
    <row r="12" spans="1:9" x14ac:dyDescent="0.3">
      <c r="A12" t="s">
        <v>228</v>
      </c>
      <c r="B12" t="s">
        <v>136</v>
      </c>
      <c r="C12" s="5">
        <v>46118</v>
      </c>
      <c r="D12" s="4">
        <v>0.39583333333333331</v>
      </c>
      <c r="E12" t="s">
        <v>222</v>
      </c>
      <c r="F12" t="s">
        <v>218</v>
      </c>
      <c r="G12" t="s">
        <v>216</v>
      </c>
      <c r="H12" t="s">
        <v>40</v>
      </c>
    </row>
    <row r="13" spans="1:9" x14ac:dyDescent="0.3">
      <c r="A13" t="s">
        <v>229</v>
      </c>
      <c r="B13" t="s">
        <v>136</v>
      </c>
      <c r="C13" s="5">
        <v>46118</v>
      </c>
      <c r="D13" s="4">
        <v>0.57291666666666663</v>
      </c>
      <c r="E13" t="s">
        <v>223</v>
      </c>
      <c r="F13" t="s">
        <v>216</v>
      </c>
      <c r="G13" t="s">
        <v>218</v>
      </c>
      <c r="H13" t="s">
        <v>40</v>
      </c>
    </row>
    <row r="14" spans="1:9" x14ac:dyDescent="0.3">
      <c r="C14" s="5"/>
      <c r="D14" s="4"/>
    </row>
  </sheetData>
  <phoneticPr fontId="2" type="noConversion"/>
  <dataValidations count="5">
    <dataValidation type="list" allowBlank="1" showInputMessage="1" showErrorMessage="1" sqref="B2:B14" xr:uid="{D55E0DD8-1510-4BEA-926C-C4835D38B4A0}">
      <formula1>SampleIDList</formula1>
    </dataValidation>
    <dataValidation type="list" allowBlank="1" showInputMessage="1" showErrorMessage="1" sqref="E2:E14" xr:uid="{5B48EBDB-464F-406E-BE87-019141A38187}">
      <formula1>"Received, Transferred, Tested, Stored, Returned, Disposed"</formula1>
    </dataValidation>
    <dataValidation type="list" allowBlank="1" showInputMessage="1" showErrorMessage="1" sqref="G2:G14" xr:uid="{1EBDEAE6-CE3E-4C49-81D2-60CDFA229BFD}">
      <formula1>"External, Reception, QC Bench 1, QC Bench 2, Cold Storage, Stability Chamber, Lab Storage, Disposed"</formula1>
    </dataValidation>
    <dataValidation type="list" allowBlank="1" showInputMessage="1" showErrorMessage="1" sqref="H2:H14" xr:uid="{8A072E34-7D91-4FA5-8243-82FF74A489D5}">
      <formula1>AnalystList</formula1>
    </dataValidation>
    <dataValidation type="list" allowBlank="1" showInputMessage="1" showErrorMessage="1" sqref="F2:F14" xr:uid="{68DF7513-82D4-4D58-8DC7-244878B679CD}">
      <formula1>"External, Reception, QC Bench 1, QC Bench 2, Cold Storage, Stability Chamber, Lab Storage"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164E-35ED-44D3-9519-F1F32C91E623}">
  <dimension ref="A1:K22"/>
  <sheetViews>
    <sheetView tabSelected="1" zoomScale="8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8" sqref="F18"/>
    </sheetView>
  </sheetViews>
  <sheetFormatPr defaultRowHeight="14.4" x14ac:dyDescent="0.3"/>
  <cols>
    <col min="1" max="1" width="12.33203125" bestFit="1" customWidth="1"/>
    <col min="2" max="2" width="11.5546875" bestFit="1" customWidth="1"/>
    <col min="3" max="3" width="7.33203125" bestFit="1" customWidth="1"/>
    <col min="4" max="4" width="7" bestFit="1" customWidth="1"/>
    <col min="5" max="5" width="15.44140625" bestFit="1" customWidth="1"/>
    <col min="6" max="6" width="14" bestFit="1" customWidth="1"/>
    <col min="7" max="7" width="17.88671875" bestFit="1" customWidth="1"/>
    <col min="8" max="8" width="11.21875" bestFit="1" customWidth="1"/>
    <col min="9" max="9" width="32.44140625" bestFit="1" customWidth="1"/>
    <col min="10" max="10" width="18.77734375" bestFit="1" customWidth="1"/>
    <col min="11" max="11" width="13.5546875" bestFit="1" customWidth="1"/>
  </cols>
  <sheetData>
    <row r="1" spans="1:11" x14ac:dyDescent="0.3">
      <c r="A1" s="1" t="s">
        <v>230</v>
      </c>
      <c r="B1" s="1" t="s">
        <v>201</v>
      </c>
      <c r="C1" s="1" t="s">
        <v>202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308</v>
      </c>
      <c r="J1" s="1" t="s">
        <v>236</v>
      </c>
      <c r="K1" s="1" t="s">
        <v>309</v>
      </c>
    </row>
    <row r="2" spans="1:11" x14ac:dyDescent="0.3">
      <c r="A2" t="s">
        <v>237</v>
      </c>
      <c r="B2" s="5">
        <v>46144</v>
      </c>
      <c r="C2" s="4">
        <v>0.61805555555555558</v>
      </c>
      <c r="D2" t="s">
        <v>55</v>
      </c>
      <c r="E2" t="s">
        <v>238</v>
      </c>
      <c r="F2" t="s">
        <v>129</v>
      </c>
      <c r="G2" t="s">
        <v>127</v>
      </c>
      <c r="H2">
        <v>97.2</v>
      </c>
      <c r="I2">
        <v>95</v>
      </c>
      <c r="J2" t="s">
        <v>239</v>
      </c>
      <c r="K2" t="s">
        <v>54</v>
      </c>
    </row>
    <row r="3" spans="1:11" x14ac:dyDescent="0.3">
      <c r="A3" t="s">
        <v>240</v>
      </c>
      <c r="B3" s="5">
        <v>46145</v>
      </c>
      <c r="C3" s="4">
        <v>0.44791666666666669</v>
      </c>
      <c r="D3" t="s">
        <v>38</v>
      </c>
      <c r="E3" t="s">
        <v>249</v>
      </c>
      <c r="F3" t="s">
        <v>135</v>
      </c>
      <c r="G3" t="s">
        <v>13</v>
      </c>
      <c r="H3" t="s">
        <v>24</v>
      </c>
      <c r="I3" t="s">
        <v>159</v>
      </c>
      <c r="J3" t="s">
        <v>258</v>
      </c>
      <c r="K3" t="s">
        <v>54</v>
      </c>
    </row>
    <row r="4" spans="1:11" x14ac:dyDescent="0.3">
      <c r="A4" t="s">
        <v>241</v>
      </c>
      <c r="B4" s="5">
        <v>46140</v>
      </c>
      <c r="C4" s="4">
        <v>0.38541666666666669</v>
      </c>
      <c r="D4" t="s">
        <v>40</v>
      </c>
      <c r="E4" t="s">
        <v>250</v>
      </c>
      <c r="F4" t="s">
        <v>111</v>
      </c>
      <c r="G4" t="s">
        <v>68</v>
      </c>
      <c r="H4" t="s">
        <v>32</v>
      </c>
      <c r="I4" t="s">
        <v>121</v>
      </c>
      <c r="J4" t="s">
        <v>311</v>
      </c>
      <c r="K4" t="s">
        <v>39</v>
      </c>
    </row>
    <row r="5" spans="1:11" x14ac:dyDescent="0.3">
      <c r="A5" t="s">
        <v>242</v>
      </c>
      <c r="B5" s="5">
        <v>46144</v>
      </c>
      <c r="C5" s="4">
        <v>0.65277777777777779</v>
      </c>
      <c r="D5" t="s">
        <v>39</v>
      </c>
      <c r="E5" t="s">
        <v>249</v>
      </c>
      <c r="F5" t="s">
        <v>132</v>
      </c>
      <c r="G5" t="s">
        <v>7</v>
      </c>
      <c r="H5" t="s">
        <v>39</v>
      </c>
      <c r="I5" t="s">
        <v>38</v>
      </c>
      <c r="J5" t="s">
        <v>251</v>
      </c>
      <c r="K5" t="s">
        <v>54</v>
      </c>
    </row>
    <row r="6" spans="1:11" x14ac:dyDescent="0.3">
      <c r="A6" t="s">
        <v>243</v>
      </c>
      <c r="B6" s="5">
        <v>46137</v>
      </c>
      <c r="C6" s="4">
        <v>0.47916666666666669</v>
      </c>
      <c r="D6" t="s">
        <v>40</v>
      </c>
      <c r="E6" t="s">
        <v>249</v>
      </c>
      <c r="F6" t="s">
        <v>142</v>
      </c>
      <c r="G6" t="s">
        <v>13</v>
      </c>
      <c r="H6" t="s">
        <v>159</v>
      </c>
      <c r="I6" t="s">
        <v>158</v>
      </c>
      <c r="J6" t="s">
        <v>252</v>
      </c>
      <c r="K6" t="s">
        <v>39</v>
      </c>
    </row>
    <row r="7" spans="1:11" x14ac:dyDescent="0.3">
      <c r="A7" t="s">
        <v>244</v>
      </c>
      <c r="B7" s="5">
        <v>46139</v>
      </c>
      <c r="C7" s="4">
        <v>0.50972222222222219</v>
      </c>
      <c r="D7" t="s">
        <v>55</v>
      </c>
      <c r="E7" t="s">
        <v>253</v>
      </c>
      <c r="F7" t="s">
        <v>79</v>
      </c>
      <c r="G7" t="s">
        <v>68</v>
      </c>
      <c r="H7" t="s">
        <v>32</v>
      </c>
      <c r="I7" t="s">
        <v>73</v>
      </c>
      <c r="J7" t="s">
        <v>303</v>
      </c>
      <c r="K7" t="s">
        <v>39</v>
      </c>
    </row>
    <row r="8" spans="1:11" x14ac:dyDescent="0.3">
      <c r="A8" t="s">
        <v>245</v>
      </c>
      <c r="B8" s="5">
        <v>46150</v>
      </c>
      <c r="C8" s="4">
        <v>0.67013888888888884</v>
      </c>
      <c r="D8" t="s">
        <v>38</v>
      </c>
      <c r="E8" t="s">
        <v>249</v>
      </c>
      <c r="F8" t="s">
        <v>133</v>
      </c>
      <c r="G8" t="s">
        <v>25</v>
      </c>
      <c r="H8" t="s">
        <v>21</v>
      </c>
      <c r="I8" t="s">
        <v>162</v>
      </c>
      <c r="J8" t="s">
        <v>310</v>
      </c>
      <c r="K8" t="s">
        <v>39</v>
      </c>
    </row>
    <row r="9" spans="1:11" x14ac:dyDescent="0.3">
      <c r="A9" t="s">
        <v>246</v>
      </c>
      <c r="B9" s="5">
        <v>46143</v>
      </c>
      <c r="C9" s="4">
        <v>0.36805555555555558</v>
      </c>
      <c r="D9" t="s">
        <v>38</v>
      </c>
      <c r="E9" t="s">
        <v>238</v>
      </c>
      <c r="F9" t="s">
        <v>199</v>
      </c>
      <c r="G9" t="s">
        <v>127</v>
      </c>
      <c r="H9">
        <v>6.7</v>
      </c>
      <c r="I9">
        <v>6.1</v>
      </c>
      <c r="J9" t="s">
        <v>258</v>
      </c>
      <c r="K9" t="s">
        <v>54</v>
      </c>
    </row>
    <row r="10" spans="1:11" x14ac:dyDescent="0.3">
      <c r="A10" t="s">
        <v>247</v>
      </c>
      <c r="B10" s="5">
        <v>46143</v>
      </c>
      <c r="C10" s="4">
        <v>0.4236111111111111</v>
      </c>
      <c r="D10" t="s">
        <v>40</v>
      </c>
      <c r="E10" t="s">
        <v>254</v>
      </c>
      <c r="F10" t="s">
        <v>255</v>
      </c>
      <c r="G10" t="s">
        <v>259</v>
      </c>
      <c r="H10" s="6" t="s">
        <v>87</v>
      </c>
      <c r="I10" t="s">
        <v>306</v>
      </c>
      <c r="J10" t="s">
        <v>251</v>
      </c>
      <c r="K10" t="s">
        <v>54</v>
      </c>
    </row>
    <row r="11" spans="1:11" x14ac:dyDescent="0.3">
      <c r="A11" t="s">
        <v>248</v>
      </c>
      <c r="B11" s="5">
        <v>46154</v>
      </c>
      <c r="C11" s="4">
        <v>0.45833333333333331</v>
      </c>
      <c r="D11" t="s">
        <v>55</v>
      </c>
      <c r="E11" t="s">
        <v>238</v>
      </c>
      <c r="F11" t="s">
        <v>285</v>
      </c>
      <c r="G11" t="s">
        <v>257</v>
      </c>
      <c r="H11" s="6" t="s">
        <v>87</v>
      </c>
      <c r="I11" t="s">
        <v>304</v>
      </c>
      <c r="J11" t="s">
        <v>258</v>
      </c>
      <c r="K11" t="s">
        <v>39</v>
      </c>
    </row>
    <row r="12" spans="1:11" x14ac:dyDescent="0.3">
      <c r="B12" s="5"/>
      <c r="C12" s="4"/>
    </row>
    <row r="13" spans="1:11" x14ac:dyDescent="0.3">
      <c r="B13" s="5"/>
      <c r="C13" s="4"/>
    </row>
    <row r="14" spans="1:11" x14ac:dyDescent="0.3">
      <c r="B14" s="5"/>
      <c r="C14" s="4"/>
    </row>
    <row r="15" spans="1:11" x14ac:dyDescent="0.3">
      <c r="B15" s="5"/>
      <c r="C15" s="4"/>
    </row>
    <row r="16" spans="1:11" x14ac:dyDescent="0.3">
      <c r="B16" s="5"/>
      <c r="C16" s="4"/>
    </row>
    <row r="17" spans="2:7" x14ac:dyDescent="0.3">
      <c r="B17" s="5"/>
      <c r="C17" s="4"/>
    </row>
    <row r="22" spans="2:7" x14ac:dyDescent="0.3">
      <c r="G22" s="7"/>
    </row>
  </sheetData>
  <phoneticPr fontId="2" type="noConversion"/>
  <dataValidations count="4">
    <dataValidation type="list" allowBlank="1" showInputMessage="1" showErrorMessage="1" sqref="D2:D12 K2:K12" xr:uid="{2CAECF4B-F724-436B-BEB8-C9C5B1268198}">
      <formula1>AnalystList</formula1>
    </dataValidation>
    <dataValidation type="list" allowBlank="1" showInputMessage="1" showErrorMessage="1" sqref="E2:E12" xr:uid="{5E7231F2-6888-48F3-AC81-3A21D037247C}">
      <formula1>"Samples, Results, Specifications, Test Methods, Chain of Custody, Analysts"</formula1>
    </dataValidation>
    <dataValidation type="list" allowBlank="1" showInputMessage="1" showErrorMessage="1" sqref="J12:J1048576 J1" xr:uid="{4D3427A1-218A-43BA-B6DA-2750208440F5}">
      <formula1>"Transcription Error, Re-Test, Spec Update, Analyst Correction, Investigation, Approval"</formula1>
    </dataValidation>
    <dataValidation type="list" allowBlank="1" showInputMessage="1" showErrorMessage="1" sqref="J2:J11" xr:uid="{9F5D22F2-4747-4686-A4BE-E3419CDFF7AD}">
      <formula1>"Analyst Correction, Re-Test, Transcription Error, Spec Update, Investigation, Approval, Status Change, 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59CE-856C-4385-A356-8C8698C306C1}">
  <dimension ref="A1:H32"/>
  <sheetViews>
    <sheetView showGridLines="0" zoomScale="67" workbookViewId="0">
      <selection activeCell="J10" sqref="J10"/>
    </sheetView>
  </sheetViews>
  <sheetFormatPr defaultRowHeight="14.4" x14ac:dyDescent="0.3"/>
  <cols>
    <col min="1" max="1" width="10.5546875" bestFit="1" customWidth="1"/>
    <col min="2" max="2" width="6.44140625" bestFit="1" customWidth="1"/>
    <col min="3" max="4" width="18.77734375" customWidth="1"/>
    <col min="5" max="5" width="16" bestFit="1" customWidth="1"/>
    <col min="6" max="6" width="16.88671875" bestFit="1" customWidth="1"/>
    <col min="7" max="7" width="5.21875" bestFit="1" customWidth="1"/>
    <col min="8" max="9" width="10.5546875" bestFit="1" customWidth="1"/>
  </cols>
  <sheetData>
    <row r="1" spans="1:8" ht="31.2" x14ac:dyDescent="0.6">
      <c r="A1" s="20" t="s">
        <v>288</v>
      </c>
      <c r="B1" s="20"/>
      <c r="C1" s="20"/>
      <c r="D1" s="20"/>
      <c r="E1" s="20"/>
      <c r="F1" s="20"/>
      <c r="G1" s="20"/>
      <c r="H1" s="20"/>
    </row>
    <row r="2" spans="1:8" x14ac:dyDescent="0.3">
      <c r="A2" s="21" t="s">
        <v>290</v>
      </c>
      <c r="B2" s="21"/>
      <c r="C2" s="21"/>
      <c r="D2" s="21"/>
      <c r="E2" s="21"/>
      <c r="F2" s="21"/>
      <c r="G2" s="21"/>
      <c r="H2" s="21"/>
    </row>
    <row r="4" spans="1:8" x14ac:dyDescent="0.3">
      <c r="A4" s="24" t="s">
        <v>293</v>
      </c>
      <c r="B4" s="24"/>
      <c r="C4" s="6" t="s">
        <v>24</v>
      </c>
      <c r="D4" s="6" t="s">
        <v>22</v>
      </c>
      <c r="E4" s="6" t="s">
        <v>289</v>
      </c>
    </row>
    <row r="5" spans="1:8" ht="42.6" x14ac:dyDescent="0.85">
      <c r="A5" s="25">
        <f>COUNTA(Samples!A:A)-1</f>
        <v>18</v>
      </c>
      <c r="B5" s="25"/>
      <c r="C5" s="13">
        <f>COUNTIF(Samples!P:P, "In Testing")</f>
        <v>6</v>
      </c>
      <c r="D5" s="13">
        <f>COUNTIF(Samples!P:P, "On Hold")</f>
        <v>2</v>
      </c>
      <c r="E5" s="14">
        <f>COUNTIF(Results!M:M, "OOS")/(COUNTA(Results!A:A)-1)</f>
        <v>0.17241379310344829</v>
      </c>
    </row>
    <row r="8" spans="1:8" ht="15.6" x14ac:dyDescent="0.3">
      <c r="A8" s="12" t="s">
        <v>291</v>
      </c>
      <c r="B8" s="12"/>
      <c r="E8" s="12" t="s">
        <v>292</v>
      </c>
    </row>
    <row r="10" spans="1:8" x14ac:dyDescent="0.3">
      <c r="A10" s="15" t="s">
        <v>68</v>
      </c>
      <c r="B10" t="s">
        <v>295</v>
      </c>
      <c r="E10" s="15" t="s">
        <v>299</v>
      </c>
      <c r="F10" s="15" t="s">
        <v>296</v>
      </c>
    </row>
    <row r="11" spans="1:8" x14ac:dyDescent="0.3">
      <c r="A11" s="16" t="s">
        <v>159</v>
      </c>
      <c r="B11" s="6">
        <v>4</v>
      </c>
      <c r="E11" s="15" t="s">
        <v>300</v>
      </c>
      <c r="F11" s="6" t="s">
        <v>297</v>
      </c>
      <c r="G11" s="17" t="s">
        <v>298</v>
      </c>
      <c r="H11" t="s">
        <v>294</v>
      </c>
    </row>
    <row r="12" spans="1:8" x14ac:dyDescent="0.3">
      <c r="A12" s="16" t="s">
        <v>24</v>
      </c>
      <c r="B12" s="6">
        <v>6</v>
      </c>
      <c r="E12" s="16" t="s">
        <v>148</v>
      </c>
      <c r="F12" s="28">
        <v>2</v>
      </c>
      <c r="G12" s="27">
        <v>4</v>
      </c>
      <c r="H12" s="27">
        <v>6</v>
      </c>
    </row>
    <row r="13" spans="1:8" x14ac:dyDescent="0.3">
      <c r="A13" s="16" t="s">
        <v>22</v>
      </c>
      <c r="B13" s="6">
        <v>2</v>
      </c>
      <c r="E13" s="16" t="s">
        <v>58</v>
      </c>
      <c r="F13" s="28">
        <v>1</v>
      </c>
      <c r="G13" s="27">
        <v>9</v>
      </c>
      <c r="H13" s="27">
        <v>10</v>
      </c>
    </row>
    <row r="14" spans="1:8" x14ac:dyDescent="0.3">
      <c r="A14" s="16" t="s">
        <v>154</v>
      </c>
      <c r="B14" s="6">
        <v>2</v>
      </c>
      <c r="E14" s="16" t="s">
        <v>61</v>
      </c>
      <c r="F14" s="28">
        <v>2</v>
      </c>
      <c r="G14" s="27">
        <v>11</v>
      </c>
      <c r="H14" s="27">
        <v>13</v>
      </c>
    </row>
    <row r="15" spans="1:8" x14ac:dyDescent="0.3">
      <c r="A15" s="16" t="s">
        <v>158</v>
      </c>
      <c r="B15" s="6">
        <v>4</v>
      </c>
      <c r="E15" s="16" t="s">
        <v>294</v>
      </c>
      <c r="F15" s="28">
        <v>5</v>
      </c>
      <c r="G15" s="27">
        <v>24</v>
      </c>
      <c r="H15" s="27">
        <v>29</v>
      </c>
    </row>
    <row r="16" spans="1:8" x14ac:dyDescent="0.3">
      <c r="A16" s="16" t="s">
        <v>294</v>
      </c>
      <c r="B16" s="6">
        <v>18</v>
      </c>
      <c r="G16" s="6"/>
    </row>
    <row r="25" spans="1:7" ht="15.6" x14ac:dyDescent="0.3">
      <c r="A25" s="12" t="s">
        <v>301</v>
      </c>
    </row>
    <row r="27" spans="1:7" ht="15.6" x14ac:dyDescent="0.3">
      <c r="A27" s="15" t="s">
        <v>126</v>
      </c>
      <c r="B27" t="s">
        <v>295</v>
      </c>
      <c r="E27" s="22" t="s">
        <v>302</v>
      </c>
      <c r="F27" s="22"/>
      <c r="G27" s="22"/>
    </row>
    <row r="28" spans="1:7" ht="63" x14ac:dyDescent="1.2">
      <c r="A28" s="16" t="s">
        <v>40</v>
      </c>
      <c r="B28" s="27">
        <v>5</v>
      </c>
      <c r="E28" s="23">
        <f>COUNTIFS(tblAudit[Date], "&gt;="&amp;DATE(2026,5,1), tblAudit[Date], "&lt;"&amp;DATE(2026,6,1))</f>
        <v>7</v>
      </c>
      <c r="F28" s="23"/>
      <c r="G28" s="23"/>
    </row>
    <row r="29" spans="1:7" x14ac:dyDescent="0.3">
      <c r="A29" s="16" t="s">
        <v>55</v>
      </c>
      <c r="B29" s="27">
        <v>6</v>
      </c>
    </row>
    <row r="30" spans="1:7" x14ac:dyDescent="0.3">
      <c r="A30" s="16" t="s">
        <v>38</v>
      </c>
      <c r="B30" s="27">
        <v>7</v>
      </c>
    </row>
    <row r="31" spans="1:7" x14ac:dyDescent="0.3">
      <c r="A31" s="16" t="s">
        <v>39</v>
      </c>
      <c r="B31" s="27">
        <v>11</v>
      </c>
    </row>
    <row r="32" spans="1:7" x14ac:dyDescent="0.3">
      <c r="A32" s="16" t="s">
        <v>294</v>
      </c>
      <c r="B32" s="26">
        <v>29</v>
      </c>
    </row>
  </sheetData>
  <mergeCells count="6">
    <mergeCell ref="A1:H1"/>
    <mergeCell ref="A2:H2"/>
    <mergeCell ref="E27:G27"/>
    <mergeCell ref="E28:G28"/>
    <mergeCell ref="A4:B4"/>
    <mergeCell ref="A5:B5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4CEC-EA8C-479A-B0AE-8077F8B6F13B}">
  <dimension ref="A1:F8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2.21875" bestFit="1" customWidth="1"/>
    <col min="2" max="2" width="9" bestFit="1" customWidth="1"/>
    <col min="3" max="3" width="13.6640625" bestFit="1" customWidth="1"/>
    <col min="4" max="4" width="15.21875" bestFit="1" customWidth="1"/>
    <col min="5" max="5" width="21" bestFit="1" customWidth="1"/>
    <col min="6" max="6" width="8.44140625" bestFit="1" customWidth="1"/>
  </cols>
  <sheetData>
    <row r="1" spans="1:6" s="1" customFormat="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t="s">
        <v>33</v>
      </c>
      <c r="B2" t="s">
        <v>38</v>
      </c>
      <c r="C2" t="s">
        <v>41</v>
      </c>
      <c r="D2" t="s">
        <v>45</v>
      </c>
      <c r="E2" t="s">
        <v>48</v>
      </c>
      <c r="F2" t="s">
        <v>53</v>
      </c>
    </row>
    <row r="3" spans="1:6" x14ac:dyDescent="0.3">
      <c r="A3" t="s">
        <v>34</v>
      </c>
      <c r="B3" t="s">
        <v>39</v>
      </c>
      <c r="C3" t="s">
        <v>42</v>
      </c>
      <c r="D3" t="s">
        <v>47</v>
      </c>
      <c r="E3" t="s">
        <v>49</v>
      </c>
      <c r="F3" t="s">
        <v>53</v>
      </c>
    </row>
    <row r="4" spans="1:6" x14ac:dyDescent="0.3">
      <c r="A4" t="s">
        <v>35</v>
      </c>
      <c r="B4" t="s">
        <v>40</v>
      </c>
      <c r="C4" t="s">
        <v>43</v>
      </c>
      <c r="D4" t="s">
        <v>45</v>
      </c>
      <c r="E4" t="s">
        <v>50</v>
      </c>
      <c r="F4" t="s">
        <v>53</v>
      </c>
    </row>
    <row r="5" spans="1:6" x14ac:dyDescent="0.3">
      <c r="A5" t="s">
        <v>36</v>
      </c>
      <c r="B5" t="s">
        <v>54</v>
      </c>
      <c r="C5" t="s">
        <v>44</v>
      </c>
      <c r="D5" t="s">
        <v>46</v>
      </c>
      <c r="E5" t="s">
        <v>51</v>
      </c>
      <c r="F5" t="s">
        <v>53</v>
      </c>
    </row>
    <row r="6" spans="1:6" x14ac:dyDescent="0.3">
      <c r="A6" t="s">
        <v>37</v>
      </c>
      <c r="B6" t="s">
        <v>55</v>
      </c>
      <c r="C6" t="s">
        <v>305</v>
      </c>
      <c r="D6" t="s">
        <v>45</v>
      </c>
      <c r="E6" t="s">
        <v>52</v>
      </c>
      <c r="F6" t="s">
        <v>53</v>
      </c>
    </row>
    <row r="7" spans="1:6" x14ac:dyDescent="0.3">
      <c r="A7" t="s">
        <v>255</v>
      </c>
      <c r="B7" t="s">
        <v>260</v>
      </c>
      <c r="C7" t="s">
        <v>306</v>
      </c>
      <c r="D7" t="s">
        <v>45</v>
      </c>
      <c r="E7" t="s">
        <v>261</v>
      </c>
      <c r="F7" t="s">
        <v>53</v>
      </c>
    </row>
    <row r="8" spans="1:6" s="1" customFormat="1" x14ac:dyDescent="0.3"/>
  </sheetData>
  <phoneticPr fontId="2" type="noConversion"/>
  <dataValidations count="1">
    <dataValidation type="list" allowBlank="1" showInputMessage="1" showErrorMessage="1" sqref="F14:F1048576 F1:F7" xr:uid="{B8DBA6BA-5FA5-4F2B-BA4A-73D0E6BD2277}">
      <formula1>"Yes, 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Samples</vt:lpstr>
      <vt:lpstr>Test Methods</vt:lpstr>
      <vt:lpstr>Specifications</vt:lpstr>
      <vt:lpstr>Results</vt:lpstr>
      <vt:lpstr>Chain of Custody</vt:lpstr>
      <vt:lpstr>Audit Trail</vt:lpstr>
      <vt:lpstr>Dashboard</vt:lpstr>
      <vt:lpstr>Analysts</vt:lpstr>
      <vt:lpstr>AnalystList</vt:lpstr>
      <vt:lpstr>FrmLocationList</vt:lpstr>
      <vt:lpstr>LowerLimList</vt:lpstr>
      <vt:lpstr>MethodIDList</vt:lpstr>
      <vt:lpstr>MethodList</vt:lpstr>
      <vt:lpstr>ProductList</vt:lpstr>
      <vt:lpstr>SampleIDList</vt:lpstr>
      <vt:lpstr>UnitList</vt:lpstr>
      <vt:lpstr>UpperLimList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BINIL G SAVIO</dc:creator>
  <cp:lastModifiedBy>BINIL G SAVIO</cp:lastModifiedBy>
  <dcterms:created xsi:type="dcterms:W3CDTF">2026-04-26T19:34:19Z</dcterms:created>
  <dcterms:modified xsi:type="dcterms:W3CDTF">2026-05-18T19:33:44Z</dcterms:modified>
</cp:coreProperties>
</file>